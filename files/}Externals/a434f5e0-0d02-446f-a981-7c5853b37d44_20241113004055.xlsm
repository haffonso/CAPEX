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ticonsultores-my.sharepoint.com/personal/fmorais_ctiglobal_com/Documents/Área de Trabalho/"/>
    </mc:Choice>
  </mc:AlternateContent>
  <xr:revisionPtr revIDLastSave="0" documentId="8_{07817047-EBAF-4F41-BB23-9F2C9EBEA4CD}" xr6:coauthVersionLast="47" xr6:coauthVersionMax="47" xr10:uidLastSave="{00000000-0000-0000-0000-000000000000}"/>
  <bookViews>
    <workbookView xWindow="51480" yWindow="-2220" windowWidth="23280" windowHeight="12480" firstSheet="1" activeTab="1" xr2:uid="{29721C80-6CEA-4F5C-9DDF-8890B4FE9CC0}"/>
  </bookViews>
  <sheets>
    <sheet name="Cognos_Office_Connection_Cache" sheetId="2" state="veryHidden" r:id="rId1"/>
    <sheet name="Planilha" sheetId="3" r:id="rId2"/>
  </sheets>
  <definedNames>
    <definedName name="cafe_validation_temp" hidden="1">Cognos_Office_Connection_Cache!$B$2:$B$8</definedName>
    <definedName name="ID" localSheetId="0" hidden="1">"df5c91ec-c372-46e8-89e3-8db916c9ec9a"</definedName>
    <definedName name="ID" localSheetId="1" hidden="1">"7955126e-7030-4866-bafe-1c9599d1e881"</definedName>
    <definedName name="TM1RPTDATARNG22131618" localSheetId="1">Planilha!$25:$36</definedName>
    <definedName name="TM1RPTFMTIDCOL22131618" localSheetId="1">Planilha!$B$3:$B$12</definedName>
    <definedName name="TM1RPTFMTRNG22131618" localSheetId="1">Planilha!$C$3:$S$12</definedName>
    <definedName name="TM1RPTQRYRNG22131618" localSheetId="1">Planilha!$C$13</definedName>
    <definedName name="TM1RPTVIEWRNG22131618" localSheetId="1">Planilha!$C$14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3" l="1"/>
  <c r="I16" i="3"/>
  <c r="B28" i="3"/>
  <c r="B26" i="3"/>
  <c r="B27" i="3"/>
  <c r="B30" i="3"/>
  <c r="B29" i="3"/>
  <c r="B33" i="3"/>
  <c r="B32" i="3"/>
  <c r="B31" i="3"/>
  <c r="B36" i="3"/>
  <c r="B35" i="3"/>
  <c r="B34" i="3"/>
  <c r="D16" i="3"/>
  <c r="B25" i="3"/>
  <c r="I17" i="3"/>
  <c r="C14" i="3"/>
  <c r="C25" i="3"/>
  <c r="D25" i="3"/>
  <c r="L25" i="3"/>
  <c r="N25" i="3"/>
  <c r="O25" i="3"/>
  <c r="K25" i="3"/>
  <c r="G25" i="3"/>
  <c r="J25" i="3"/>
  <c r="I25" i="3"/>
  <c r="H25" i="3"/>
  <c r="F25" i="3"/>
  <c r="E25" i="3"/>
  <c r="P25" i="3"/>
  <c r="M25" i="3"/>
  <c r="E35" i="3"/>
  <c r="M35" i="3"/>
  <c r="D36" i="3"/>
  <c r="L36" i="3"/>
  <c r="E34" i="3"/>
  <c r="N34" i="3"/>
  <c r="G34" i="3"/>
  <c r="O34" i="3"/>
  <c r="F35" i="3"/>
  <c r="N35" i="3"/>
  <c r="E36" i="3"/>
  <c r="M36" i="3"/>
  <c r="G36" i="3"/>
  <c r="O36" i="3"/>
  <c r="P34" i="3"/>
  <c r="F36" i="3"/>
  <c r="H35" i="3"/>
  <c r="J34" i="3"/>
  <c r="H36" i="3"/>
  <c r="P36" i="3"/>
  <c r="F34" i="3"/>
  <c r="O35" i="3"/>
  <c r="I34" i="3"/>
  <c r="K34" i="3"/>
  <c r="J35" i="3"/>
  <c r="I36" i="3"/>
  <c r="H34" i="3"/>
  <c r="G35" i="3"/>
  <c r="N36" i="3"/>
  <c r="P35" i="3"/>
  <c r="I35" i="3"/>
  <c r="D34" i="3"/>
  <c r="L34" i="3"/>
  <c r="K35" i="3"/>
  <c r="J36" i="3"/>
  <c r="M34" i="3"/>
  <c r="D35" i="3"/>
  <c r="L35" i="3"/>
  <c r="K36" i="3"/>
  <c r="F31" i="3"/>
  <c r="M32" i="3"/>
  <c r="G31" i="3"/>
  <c r="M33" i="3"/>
  <c r="O32" i="3"/>
  <c r="F33" i="3"/>
  <c r="N33" i="3"/>
  <c r="N31" i="3"/>
  <c r="D33" i="3"/>
  <c r="N32" i="3"/>
  <c r="P31" i="3"/>
  <c r="H32" i="3"/>
  <c r="P32" i="3"/>
  <c r="G33" i="3"/>
  <c r="O33" i="3"/>
  <c r="E32" i="3"/>
  <c r="O31" i="3"/>
  <c r="H31" i="3"/>
  <c r="I31" i="3"/>
  <c r="I32" i="3"/>
  <c r="H33" i="3"/>
  <c r="P33" i="3"/>
  <c r="L33" i="3"/>
  <c r="J32" i="3"/>
  <c r="I33" i="3"/>
  <c r="F32" i="3"/>
  <c r="E33" i="3"/>
  <c r="G32" i="3"/>
  <c r="J31" i="3"/>
  <c r="K31" i="3"/>
  <c r="D31" i="3"/>
  <c r="L31" i="3"/>
  <c r="K32" i="3"/>
  <c r="J33" i="3"/>
  <c r="E31" i="3"/>
  <c r="M31" i="3"/>
  <c r="D32" i="3"/>
  <c r="L32" i="3"/>
  <c r="K33" i="3"/>
  <c r="E29" i="3"/>
  <c r="D30" i="3"/>
  <c r="M30" i="3"/>
  <c r="N30" i="3"/>
  <c r="N29" i="3"/>
  <c r="O30" i="3"/>
  <c r="F29" i="3"/>
  <c r="F30" i="3"/>
  <c r="H29" i="3"/>
  <c r="P29" i="3"/>
  <c r="G30" i="3"/>
  <c r="I29" i="3"/>
  <c r="H30" i="3"/>
  <c r="P30" i="3"/>
  <c r="O29" i="3"/>
  <c r="L30" i="3"/>
  <c r="G29" i="3"/>
  <c r="J29" i="3"/>
  <c r="K29" i="3"/>
  <c r="J30" i="3"/>
  <c r="M29" i="3"/>
  <c r="E30" i="3"/>
  <c r="I30" i="3"/>
  <c r="D29" i="3"/>
  <c r="L29" i="3"/>
  <c r="K30" i="3"/>
  <c r="L28" i="3"/>
  <c r="M28" i="3"/>
  <c r="D28" i="3"/>
  <c r="N27" i="3"/>
  <c r="G27" i="3"/>
  <c r="H27" i="3"/>
  <c r="P27" i="3"/>
  <c r="G28" i="3"/>
  <c r="O28" i="3"/>
  <c r="F26" i="3"/>
  <c r="F27" i="3"/>
  <c r="P26" i="3"/>
  <c r="J26" i="3"/>
  <c r="I27" i="3"/>
  <c r="H28" i="3"/>
  <c r="P28" i="3"/>
  <c r="E27" i="3"/>
  <c r="G26" i="3"/>
  <c r="E28" i="3"/>
  <c r="O27" i="3"/>
  <c r="I26" i="3"/>
  <c r="K26" i="3"/>
  <c r="J27" i="3"/>
  <c r="I28" i="3"/>
  <c r="M27" i="3"/>
  <c r="O26" i="3"/>
  <c r="H26" i="3"/>
  <c r="F28" i="3"/>
  <c r="L26" i="3"/>
  <c r="K27" i="3"/>
  <c r="J28" i="3"/>
  <c r="N26" i="3"/>
  <c r="N28" i="3"/>
  <c r="D26" i="3"/>
  <c r="E26" i="3"/>
  <c r="M26" i="3"/>
  <c r="D27" i="3"/>
  <c r="L27" i="3"/>
  <c r="K28" i="3"/>
  <c r="D21" i="3" l="1"/>
  <c r="Q21" i="3"/>
  <c r="Q28" i="3"/>
  <c r="Q27" i="3"/>
  <c r="Q26" i="3"/>
  <c r="Q30" i="3"/>
  <c r="Q29" i="3"/>
  <c r="Q33" i="3"/>
  <c r="Q32" i="3"/>
  <c r="Q31" i="3"/>
  <c r="Q34" i="3"/>
  <c r="Q36" i="3"/>
  <c r="Q35" i="3"/>
  <c r="Q25" i="3"/>
  <c r="R26" i="3" l="1"/>
  <c r="S26" i="3" s="1"/>
  <c r="R27" i="3"/>
  <c r="S27" i="3" s="1"/>
  <c r="R28" i="3"/>
  <c r="S28" i="3" s="1"/>
  <c r="R29" i="3"/>
  <c r="S29" i="3" s="1"/>
  <c r="R30" i="3"/>
  <c r="S30" i="3" s="1"/>
  <c r="R31" i="3"/>
  <c r="S31" i="3" s="1"/>
  <c r="R32" i="3"/>
  <c r="S32" i="3" s="1"/>
  <c r="R33" i="3"/>
  <c r="S33" i="3" s="1"/>
  <c r="R35" i="3"/>
  <c r="S35" i="3" s="1"/>
  <c r="R36" i="3"/>
  <c r="S36" i="3" s="1"/>
  <c r="R34" i="3"/>
  <c r="S34" i="3" s="1"/>
  <c r="R25" i="3"/>
  <c r="S25" i="3" s="1"/>
</calcChain>
</file>

<file path=xl/sharedStrings.xml><?xml version="1.0" encoding="utf-8"?>
<sst xmlns="http://schemas.openxmlformats.org/spreadsheetml/2006/main" count="84" uniqueCount="44">
  <si>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</si>
  <si>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</si>
  <si>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</si>
  <si>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</si>
  <si>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</si>
  <si>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</si>
  <si>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</si>
  <si>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</si>
  <si>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</si>
  <si>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</si>
  <si>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</si>
  <si>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</si>
  <si>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</si>
  <si>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Phones</t>
  </si>
  <si>
    <t>3G Smart Phones</t>
  </si>
  <si>
    <t>4G Smart Phones</t>
  </si>
  <si>
    <t>Phone Only</t>
  </si>
  <si>
    <t>PCs</t>
  </si>
  <si>
    <t>Desktops</t>
  </si>
  <si>
    <t>Laptops</t>
  </si>
  <si>
    <t>Gaming</t>
  </si>
  <si>
    <t>Tablets</t>
  </si>
  <si>
    <t>10 Inch Tablets</t>
  </si>
  <si>
    <t>8 Inch Tablets</t>
  </si>
  <si>
    <t>Revenue</t>
  </si>
  <si>
    <t>Actual</t>
  </si>
  <si>
    <t>Variance</t>
  </si>
  <si>
    <t>Variance%</t>
  </si>
  <si>
    <t>[Begin Format Range]</t>
  </si>
  <si>
    <t>Default</t>
  </si>
  <si>
    <t>Leaf</t>
  </si>
  <si>
    <t>[End Format Range]</t>
  </si>
  <si>
    <t>Nome do elemento</t>
  </si>
  <si>
    <t>{TM1SubsetToSet([product].[product], "Default")}</t>
  </si>
  <si>
    <t>Organization</t>
  </si>
  <si>
    <t>Channel</t>
  </si>
  <si>
    <t>[Felipy.xlsm]Planilha2!D17:F17</t>
  </si>
  <si>
    <t>Unit Net Sales Price</t>
  </si>
  <si>
    <t>Volume - Units</t>
  </si>
  <si>
    <t>Gross Revenue</t>
  </si>
  <si>
    <t>Unit Direct Cost</t>
  </si>
  <si>
    <t>Total Cost of Goods Sold</t>
  </si>
  <si>
    <t>Gross Margin</t>
  </si>
  <si>
    <t>Gross Margin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</si>
</sst>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7" formatCode="\-\ @"/>
    <numFmt numFmtId="168" formatCode="\+\ @"/>
    <numFmt numFmtId="173" formatCode="0.0%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0.5"/>
      <color theme="0"/>
      <name val="Calibri"/>
      <family val="2"/>
    </font>
    <font>
      <b/>
      <sz val="10.5"/>
      <color theme="1" tint="0.1499984740745262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5">
    <xf numFmtId="0" fontId="0" fillId="0" borderId="0"/>
    <xf numFmtId="9" fontId="1" fillId="0" borderId="0" applyFont="0" applyFill="0" applyBorder="0" applyAlignment="0" applyProtection="0"/>
    <xf numFmtId="0" fontId="3" fillId="0" borderId="1" applyNumberFormat="0" applyFill="0" applyProtection="0">
      <alignment horizontal="center" vertical="center"/>
    </xf>
    <xf numFmtId="3" fontId="4" fillId="0" borderId="2" applyFont="0" applyFill="0" applyAlignment="0" applyProtection="0"/>
    <xf numFmtId="3" fontId="4" fillId="0" borderId="2" applyFont="0" applyFill="0" applyAlignment="0" applyProtection="0"/>
    <xf numFmtId="3" fontId="4" fillId="0" borderId="2" applyFont="0" applyFill="0" applyAlignment="0" applyProtection="0"/>
    <xf numFmtId="3" fontId="4" fillId="0" borderId="2" applyFont="0" applyFill="0" applyAlignment="0" applyProtection="0"/>
    <xf numFmtId="3" fontId="4" fillId="0" borderId="2" applyFont="0" applyFill="0" applyAlignment="0" applyProtection="0"/>
    <xf numFmtId="3" fontId="4" fillId="0" borderId="2" applyFont="0" applyFill="0" applyAlignment="0" applyProtection="0"/>
    <xf numFmtId="3" fontId="4" fillId="0" borderId="2" applyFont="0" applyFill="0" applyAlignment="0" applyProtection="0"/>
    <xf numFmtId="3" fontId="4" fillId="0" borderId="2" applyFont="0" applyFill="0" applyAlignment="0" applyProtection="0"/>
    <xf numFmtId="3" fontId="3" fillId="0" borderId="1" applyNumberFormat="0" applyFill="0" applyAlignment="0" applyProtection="0"/>
    <xf numFmtId="0" fontId="3" fillId="0" borderId="1" applyNumberFormat="0" applyFill="0" applyAlignment="0" applyProtection="0"/>
    <xf numFmtId="3" fontId="3" fillId="0" borderId="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3" fontId="4" fillId="0" borderId="0" applyNumberFormat="0" applyBorder="0" applyAlignment="0" applyProtection="0"/>
    <xf numFmtId="3" fontId="4" fillId="0" borderId="0" applyNumberFormat="0" applyBorder="0" applyAlignment="0" applyProtection="0"/>
    <xf numFmtId="3" fontId="4" fillId="0" borderId="0" applyNumberFormat="0" applyBorder="0" applyAlignment="0" applyProtection="0"/>
    <xf numFmtId="3" fontId="4" fillId="0" borderId="0" applyNumberFormat="0" applyBorder="0" applyAlignment="0" applyProtection="0"/>
    <xf numFmtId="3" fontId="4" fillId="0" borderId="0" applyNumberFormat="0" applyBorder="0" applyAlignment="0" applyProtection="0"/>
    <xf numFmtId="3" fontId="4" fillId="0" borderId="2" applyNumberFormat="0" applyBorder="0" applyAlignment="0" applyProtection="0"/>
    <xf numFmtId="3" fontId="4" fillId="0" borderId="2" applyNumberFormat="0" applyBorder="0" applyAlignment="0" applyProtection="0"/>
    <xf numFmtId="3" fontId="4" fillId="0" borderId="2" applyNumberFormat="0" applyBorder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4" fillId="0" borderId="2">
      <alignment horizontal="right" vertical="center"/>
    </xf>
    <xf numFmtId="3" fontId="4" fillId="2" borderId="2">
      <alignment horizontal="center" vertical="center"/>
    </xf>
    <xf numFmtId="0" fontId="4" fillId="2" borderId="2">
      <alignment horizontal="right" vertical="center"/>
    </xf>
    <xf numFmtId="0" fontId="3" fillId="0" borderId="3">
      <alignment horizontal="left" vertical="center"/>
    </xf>
    <xf numFmtId="0" fontId="3" fillId="0" borderId="4">
      <alignment horizontal="center" vertical="center"/>
    </xf>
    <xf numFmtId="0" fontId="5" fillId="0" borderId="5">
      <alignment horizontal="center" vertical="center"/>
    </xf>
    <xf numFmtId="0" fontId="4" fillId="3" borderId="2"/>
    <xf numFmtId="3" fontId="3" fillId="0" borderId="1" applyFill="0" applyAlignment="0" applyProtection="0"/>
    <xf numFmtId="3" fontId="3" fillId="0" borderId="1" applyFill="0" applyAlignment="0" applyProtection="0"/>
    <xf numFmtId="3" fontId="3" fillId="0" borderId="1" applyFill="0" applyAlignment="0" applyProtection="0"/>
    <xf numFmtId="3" fontId="3" fillId="0" borderId="1" applyFill="0" applyAlignment="0" applyProtection="0"/>
    <xf numFmtId="0" fontId="3" fillId="0" borderId="1" applyFill="0" applyAlignment="0" applyProtection="0"/>
    <xf numFmtId="3" fontId="3" fillId="0" borderId="1" applyFill="0" applyAlignment="0" applyProtection="0"/>
    <xf numFmtId="0" fontId="3" fillId="0" borderId="4">
      <alignment horizontal="center" vertical="center"/>
    </xf>
    <xf numFmtId="0" fontId="3" fillId="0" borderId="4">
      <alignment horizontal="center" vertical="center"/>
    </xf>
    <xf numFmtId="3" fontId="4" fillId="0" borderId="2" applyFont="0" applyFill="0" applyAlignment="0" applyProtection="0"/>
    <xf numFmtId="0" fontId="4" fillId="0" borderId="2" applyFill="0" applyAlignment="0" applyProtection="0"/>
    <xf numFmtId="0" fontId="3" fillId="0" borderId="1" applyFill="0" applyAlignment="0" applyProtection="0"/>
    <xf numFmtId="3" fontId="3" fillId="0" borderId="1" applyFill="0" applyAlignment="0" applyProtection="0"/>
    <xf numFmtId="0" fontId="3" fillId="0" borderId="1" applyFill="0" applyAlignment="0" applyProtection="0"/>
    <xf numFmtId="0" fontId="3" fillId="0" borderId="1" applyFill="0" applyAlignment="0" applyProtection="0"/>
    <xf numFmtId="0" fontId="3" fillId="0" borderId="1" applyFill="0" applyAlignment="0" applyProtection="0"/>
    <xf numFmtId="0" fontId="3" fillId="0" borderId="1" applyFill="0" applyAlignment="0" applyProtection="0"/>
    <xf numFmtId="0" fontId="3" fillId="0" borderId="3">
      <alignment horizontal="left" vertical="center"/>
    </xf>
    <xf numFmtId="3" fontId="3" fillId="0" borderId="1" applyFill="0" applyAlignment="0" applyProtection="0"/>
    <xf numFmtId="3" fontId="6" fillId="0" borderId="2"/>
    <xf numFmtId="3" fontId="7" fillId="0" borderId="2"/>
    <xf numFmtId="0" fontId="3" fillId="0" borderId="4">
      <alignment horizontal="left" vertical="top"/>
    </xf>
    <xf numFmtId="0" fontId="8" fillId="0" borderId="2"/>
    <xf numFmtId="0" fontId="3" fillId="0" borderId="4">
      <alignment horizontal="left" vertical="center"/>
    </xf>
    <xf numFmtId="0" fontId="4" fillId="2" borderId="6"/>
    <xf numFmtId="3" fontId="4" fillId="0" borderId="2">
      <alignment horizontal="right" vertical="center"/>
    </xf>
    <xf numFmtId="0" fontId="3" fillId="0" borderId="4">
      <alignment horizontal="right" vertical="center"/>
    </xf>
    <xf numFmtId="0" fontId="4" fillId="0" borderId="5">
      <alignment horizontal="center" vertical="center"/>
    </xf>
    <xf numFmtId="3" fontId="4" fillId="0" borderId="2"/>
    <xf numFmtId="3" fontId="4" fillId="0" borderId="2"/>
    <xf numFmtId="0" fontId="4" fillId="0" borderId="5">
      <alignment horizontal="center" vertical="center" wrapText="1"/>
    </xf>
    <xf numFmtId="0" fontId="9" fillId="0" borderId="5">
      <alignment horizontal="left" vertical="center" indent="1"/>
    </xf>
    <xf numFmtId="0" fontId="10" fillId="0" borderId="2"/>
    <xf numFmtId="0" fontId="3" fillId="0" borderId="3">
      <alignment horizontal="left" vertical="center"/>
    </xf>
    <xf numFmtId="3" fontId="4" fillId="0" borderId="2">
      <alignment horizontal="center" vertical="center"/>
    </xf>
    <xf numFmtId="0" fontId="3" fillId="0" borderId="4">
      <alignment horizontal="center" vertical="center"/>
    </xf>
    <xf numFmtId="0" fontId="3" fillId="0" borderId="4">
      <alignment horizontal="center" vertical="center"/>
    </xf>
    <xf numFmtId="0" fontId="3" fillId="0" borderId="3">
      <alignment horizontal="left" vertical="center"/>
    </xf>
    <xf numFmtId="0" fontId="3" fillId="0" borderId="3">
      <alignment horizontal="left" vertical="center"/>
    </xf>
    <xf numFmtId="0" fontId="11" fillId="0" borderId="2"/>
  </cellStyleXfs>
  <cellXfs count="48">
    <xf numFmtId="0" fontId="0" fillId="0" borderId="0" xfId="0"/>
    <xf numFmtId="0" fontId="0" fillId="0" borderId="0" xfId="0" quotePrefix="1"/>
    <xf numFmtId="0" fontId="3" fillId="0" borderId="1" xfId="2" quotePrefix="1">
      <alignment horizontal="center" vertical="center"/>
    </xf>
    <xf numFmtId="0" fontId="2" fillId="6" borderId="7" xfId="0" applyFont="1" applyFill="1" applyBorder="1" applyAlignment="1">
      <alignment horizontal="center"/>
    </xf>
    <xf numFmtId="0" fontId="12" fillId="6" borderId="1" xfId="2" quotePrefix="1" applyFont="1" applyFill="1">
      <alignment horizontal="center" vertical="center"/>
    </xf>
    <xf numFmtId="0" fontId="2" fillId="7" borderId="7" xfId="0" applyFont="1" applyFill="1" applyBorder="1" applyAlignment="1">
      <alignment horizontal="center"/>
    </xf>
    <xf numFmtId="0" fontId="12" fillId="7" borderId="1" xfId="2" quotePrefix="1" applyFont="1" applyFill="1">
      <alignment horizontal="center" vertical="center"/>
    </xf>
    <xf numFmtId="0" fontId="0" fillId="0" borderId="0" xfId="0" applyBorder="1"/>
    <xf numFmtId="0" fontId="4" fillId="0" borderId="0" xfId="28" quotePrefix="1" applyBorder="1" applyAlignment="1">
      <alignment horizontal="right"/>
    </xf>
    <xf numFmtId="0" fontId="4" fillId="8" borderId="9" xfId="27" applyFill="1" applyBorder="1" applyAlignment="1">
      <alignment horizontal="left"/>
    </xf>
    <xf numFmtId="0" fontId="4" fillId="0" borderId="0" xfId="20" applyNumberFormat="1" applyAlignment="1">
      <alignment vertical="center"/>
    </xf>
    <xf numFmtId="0" fontId="12" fillId="4" borderId="9" xfId="12" applyNumberFormat="1" applyFont="1" applyFill="1" applyBorder="1" applyAlignment="1">
      <alignment vertical="center"/>
    </xf>
    <xf numFmtId="3" fontId="12" fillId="4" borderId="9" xfId="4" applyFont="1" applyFill="1" applyBorder="1" applyAlignment="1">
      <alignment vertical="center"/>
    </xf>
    <xf numFmtId="0" fontId="4" fillId="0" borderId="0" xfId="21" applyNumberFormat="1" applyAlignment="1">
      <alignment vertical="center"/>
    </xf>
    <xf numFmtId="0" fontId="13" fillId="5" borderId="9" xfId="14" applyNumberFormat="1" applyFont="1" applyFill="1" applyBorder="1" applyAlignment="1">
      <alignment vertical="center"/>
    </xf>
    <xf numFmtId="3" fontId="13" fillId="5" borderId="9" xfId="6" applyFont="1" applyFill="1" applyBorder="1" applyAlignment="1">
      <alignment vertical="center"/>
    </xf>
    <xf numFmtId="0" fontId="4" fillId="0" borderId="0" xfId="22" applyNumberFormat="1" applyAlignment="1">
      <alignment vertical="center"/>
    </xf>
    <xf numFmtId="0" fontId="3" fillId="0" borderId="9" xfId="15" applyNumberFormat="1" applyBorder="1" applyAlignment="1">
      <alignment vertical="center"/>
    </xf>
    <xf numFmtId="3" fontId="4" fillId="0" borderId="9" xfId="7" applyBorder="1" applyAlignment="1">
      <alignment vertical="center"/>
    </xf>
    <xf numFmtId="0" fontId="4" fillId="0" borderId="0" xfId="23" applyNumberFormat="1" applyAlignment="1">
      <alignment vertical="center"/>
    </xf>
    <xf numFmtId="0" fontId="4" fillId="0" borderId="0" xfId="24" applyNumberFormat="1" applyBorder="1" applyAlignment="1">
      <alignment vertical="center"/>
    </xf>
    <xf numFmtId="0" fontId="3" fillId="0" borderId="9" xfId="16" applyNumberFormat="1" applyBorder="1" applyAlignment="1">
      <alignment vertical="center"/>
    </xf>
    <xf numFmtId="3" fontId="4" fillId="0" borderId="9" xfId="8" applyBorder="1" applyAlignment="1">
      <alignment vertical="center"/>
    </xf>
    <xf numFmtId="0" fontId="4" fillId="0" borderId="0" xfId="25" applyNumberFormat="1" applyBorder="1" applyAlignment="1">
      <alignment vertical="center"/>
    </xf>
    <xf numFmtId="0" fontId="3" fillId="0" borderId="9" xfId="17" applyNumberFormat="1" applyBorder="1" applyAlignment="1">
      <alignment vertical="center"/>
    </xf>
    <xf numFmtId="3" fontId="4" fillId="0" borderId="9" xfId="9" applyBorder="1" applyAlignment="1">
      <alignment vertical="center"/>
    </xf>
    <xf numFmtId="0" fontId="4" fillId="0" borderId="0" xfId="19" applyNumberFormat="1" applyAlignment="1">
      <alignment vertical="center"/>
    </xf>
    <xf numFmtId="0" fontId="4" fillId="0" borderId="0" xfId="19" quotePrefix="1" applyNumberFormat="1" applyAlignment="1">
      <alignment vertical="center"/>
    </xf>
    <xf numFmtId="0" fontId="3" fillId="0" borderId="9" xfId="11" applyNumberFormat="1" applyBorder="1" applyAlignment="1">
      <alignment vertical="center"/>
    </xf>
    <xf numFmtId="3" fontId="4" fillId="0" borderId="9" xfId="3" applyBorder="1" applyAlignment="1">
      <alignment vertical="center"/>
    </xf>
    <xf numFmtId="0" fontId="4" fillId="0" borderId="0" xfId="26" applyNumberFormat="1" applyBorder="1" applyAlignment="1">
      <alignment vertical="center"/>
    </xf>
    <xf numFmtId="0" fontId="4" fillId="0" borderId="0" xfId="26" quotePrefix="1" applyNumberFormat="1" applyBorder="1" applyAlignment="1">
      <alignment vertical="center"/>
    </xf>
    <xf numFmtId="0" fontId="3" fillId="0" borderId="9" xfId="18" applyNumberFormat="1" applyBorder="1" applyAlignment="1">
      <alignment vertical="center"/>
    </xf>
    <xf numFmtId="3" fontId="4" fillId="0" borderId="9" xfId="10" applyBorder="1" applyAlignment="1">
      <alignment vertical="center"/>
    </xf>
    <xf numFmtId="167" fontId="12" fillId="4" borderId="9" xfId="12" applyNumberFormat="1" applyFont="1" applyFill="1" applyBorder="1" applyAlignment="1">
      <alignment vertical="center"/>
    </xf>
    <xf numFmtId="167" fontId="13" fillId="5" borderId="9" xfId="14" applyNumberFormat="1" applyFont="1" applyFill="1" applyBorder="1" applyAlignment="1">
      <alignment horizontal="left" vertical="center" indent="1"/>
    </xf>
    <xf numFmtId="168" fontId="3" fillId="0" borderId="9" xfId="15" applyNumberFormat="1" applyBorder="1" applyAlignment="1">
      <alignment horizontal="left" vertical="center" indent="2"/>
    </xf>
    <xf numFmtId="3" fontId="12" fillId="4" borderId="8" xfId="4" applyFont="1" applyFill="1" applyBorder="1" applyAlignment="1">
      <alignment vertical="center"/>
    </xf>
    <xf numFmtId="3" fontId="13" fillId="5" borderId="8" xfId="6" applyFont="1" applyFill="1" applyBorder="1" applyAlignment="1">
      <alignment vertical="center"/>
    </xf>
    <xf numFmtId="3" fontId="4" fillId="0" borderId="8" xfId="7" applyBorder="1" applyAlignment="1">
      <alignment vertical="center"/>
    </xf>
    <xf numFmtId="3" fontId="4" fillId="0" borderId="8" xfId="8" applyBorder="1" applyAlignment="1">
      <alignment vertical="center"/>
    </xf>
    <xf numFmtId="3" fontId="4" fillId="0" borderId="8" xfId="9" applyBorder="1" applyAlignment="1">
      <alignment vertical="center"/>
    </xf>
    <xf numFmtId="3" fontId="4" fillId="0" borderId="8" xfId="3" applyBorder="1" applyAlignment="1">
      <alignment vertical="center"/>
    </xf>
    <xf numFmtId="3" fontId="4" fillId="0" borderId="8" xfId="10" applyBorder="1" applyAlignment="1">
      <alignment vertical="center"/>
    </xf>
    <xf numFmtId="0" fontId="4" fillId="8" borderId="9" xfId="27" applyNumberFormat="1" applyFill="1" applyBorder="1" applyAlignment="1">
      <alignment horizontal="left"/>
    </xf>
    <xf numFmtId="173" fontId="12" fillId="4" borderId="9" xfId="1" applyNumberFormat="1" applyFont="1" applyFill="1" applyBorder="1" applyAlignment="1">
      <alignment vertical="center"/>
    </xf>
    <xf numFmtId="173" fontId="13" fillId="5" borderId="9" xfId="1" applyNumberFormat="1" applyFont="1" applyFill="1" applyBorder="1" applyAlignment="1">
      <alignment vertical="center"/>
    </xf>
    <xf numFmtId="173" fontId="4" fillId="0" borderId="9" xfId="1" applyNumberFormat="1" applyFont="1" applyBorder="1" applyAlignment="1">
      <alignment vertical="center"/>
    </xf>
  </cellXfs>
  <cellStyles count="75">
    <cellStyle name="AF Column - IBM Cognos" xfId="2" xr:uid="{8D41ADB1-5DB5-47DE-A50E-515176A6726A}"/>
    <cellStyle name="AF Data - IBM Cognos" xfId="3" xr:uid="{AF256F87-1783-45F9-85FB-E59F5CFD6D70}"/>
    <cellStyle name="AF Data 0 - IBM Cognos" xfId="4" xr:uid="{C62237B0-CD22-4DE9-B678-17C6C4C93136}"/>
    <cellStyle name="AF Data 1 - IBM Cognos" xfId="5" xr:uid="{039AF13A-981E-488C-A856-B9B3EC3D2ED0}"/>
    <cellStyle name="AF Data 2 - IBM Cognos" xfId="6" xr:uid="{CD599F83-D693-4FCC-BB6C-C17178BAB964}"/>
    <cellStyle name="AF Data 3 - IBM Cognos" xfId="7" xr:uid="{E91284A0-3202-44C6-A197-76564D13BA5B}"/>
    <cellStyle name="AF Data 4 - IBM Cognos" xfId="8" xr:uid="{3F39056F-109A-4DEA-B218-CA9CBB27A128}"/>
    <cellStyle name="AF Data 5 - IBM Cognos" xfId="9" xr:uid="{521202AF-E149-4226-8E40-30A634E44E5F}"/>
    <cellStyle name="AF Data Leaf - IBM Cognos" xfId="10" xr:uid="{D68C2418-A3CE-48F9-9881-080687200590}"/>
    <cellStyle name="AF Header - IBM Cognos" xfId="11" xr:uid="{14F4EAC7-B402-41F9-86A8-0F7C043EFD4F}"/>
    <cellStyle name="AF Header 0 - IBM Cognos" xfId="12" xr:uid="{78697C67-0DF8-4DA8-9694-F3F6B54FCF1E}"/>
    <cellStyle name="AF Header 1 - IBM Cognos" xfId="13" xr:uid="{1D3E3A46-8285-4875-9A0B-354024C26B17}"/>
    <cellStyle name="AF Header 2 - IBM Cognos" xfId="14" xr:uid="{F1E4647A-845D-499E-A69F-BC005ECF8A2E}"/>
    <cellStyle name="AF Header 3 - IBM Cognos" xfId="15" xr:uid="{6B47FF0B-0C2B-4478-8774-72FF781B0E27}"/>
    <cellStyle name="AF Header 4 - IBM Cognos" xfId="16" xr:uid="{C36DD10E-8412-42A5-AFD4-F2E546A3BF38}"/>
    <cellStyle name="AF Header 5 - IBM Cognos" xfId="17" xr:uid="{19B1CF33-B982-42C4-A402-050E34C89A49}"/>
    <cellStyle name="AF Header Leaf - IBM Cognos" xfId="18" xr:uid="{61E6CEA1-8EFD-4A5A-8692-97B4FB8B15CC}"/>
    <cellStyle name="AF Row - IBM Cognos" xfId="19" xr:uid="{6C97BAA8-B232-4109-8A84-E106CC7CBF1F}"/>
    <cellStyle name="AF Row 0 - IBM Cognos" xfId="20" xr:uid="{49BE20A7-A50B-4EB4-B0B1-BB983C89AB93}"/>
    <cellStyle name="AF Row 1 - IBM Cognos" xfId="21" xr:uid="{9BC0B997-8933-4289-AD4A-4EF71491AD8A}"/>
    <cellStyle name="AF Row 2 - IBM Cognos" xfId="22" xr:uid="{8B8212A7-89AE-4304-A223-A0EE8049068E}"/>
    <cellStyle name="AF Row 3 - IBM Cognos" xfId="23" xr:uid="{F264D228-0B7D-4D65-9477-7469B9F87629}"/>
    <cellStyle name="AF Row 4 - IBM Cognos" xfId="24" xr:uid="{B96A6850-D35C-45A2-A7D3-AC9DA995D796}"/>
    <cellStyle name="AF Row 5 - IBM Cognos" xfId="25" xr:uid="{8B55BBE7-E75F-471E-9FF0-683B31BA8329}"/>
    <cellStyle name="AF Row Leaf - IBM Cognos" xfId="26" xr:uid="{648FA161-AFFA-4CDA-B4AB-07ABC5925C70}"/>
    <cellStyle name="AF Subnm - IBM Cognos" xfId="27" xr:uid="{BC91A6D0-6A26-48FF-AD18-0586E8CABF5E}"/>
    <cellStyle name="AF Title - IBM Cognos" xfId="28" xr:uid="{F99BA0CC-466F-4FC0-A1B5-9045032D84C4}"/>
    <cellStyle name="Calculated Column - IBM Cognos" xfId="29" xr:uid="{15CA395B-ADA1-4837-8645-E2BF7AE961C4}"/>
    <cellStyle name="Calculated Column Name - IBM Cognos" xfId="30" xr:uid="{F0B29CF4-E23A-42E2-88F8-1109C9119919}"/>
    <cellStyle name="Calculated Row - IBM Cognos" xfId="31" xr:uid="{F06D1D2B-10F7-4D50-A331-C03D5C13CB9A}"/>
    <cellStyle name="Calculated Row Name - IBM Cognos" xfId="32" xr:uid="{0F02FB82-AF26-44E4-8E29-9F4D6B933B82}"/>
    <cellStyle name="Column Name - IBM Cognos" xfId="33" xr:uid="{C770A093-08E6-47FD-BED6-2CB352AA9C75}"/>
    <cellStyle name="Column Template - IBM Cognos" xfId="34" xr:uid="{C0D85FD9-7762-46E2-8D5F-11906198AFB7}"/>
    <cellStyle name="Differs From Base - IBM Cognos" xfId="35" xr:uid="{62842385-A4E9-40AC-B630-EADF8C60C075}"/>
    <cellStyle name="DQR Column 0 - IBM Cognos" xfId="36" xr:uid="{786DFB04-6C37-41BD-B9D7-B08ED3B50D07}"/>
    <cellStyle name="DQR Column 1 - IBM Cognos" xfId="37" xr:uid="{A76F6B47-5197-4A41-AAA3-FE766B995216}"/>
    <cellStyle name="DQR Column 2 - IBM Cognos" xfId="38" xr:uid="{F4724980-40C3-4928-911C-9D2FF0CEA5F7}"/>
    <cellStyle name="DQR Column 3 - IBM Cognos" xfId="39" xr:uid="{91377418-2B5B-40F6-B394-6468D24C030D}"/>
    <cellStyle name="DQR Column 4 - IBM Cognos" xfId="40" xr:uid="{4FF079BE-88AD-46B5-8DA5-A123ED2A1AE9}"/>
    <cellStyle name="DQR Column 5 - IBM Cognos" xfId="41" xr:uid="{FE5EC7A9-8012-44A9-A3F1-40022A953FBA}"/>
    <cellStyle name="DQR Column Default - IBM Cognos" xfId="42" xr:uid="{508CC1E2-8270-4F92-B3C0-7A433C52F3BE}"/>
    <cellStyle name="DQR Column Leaf - IBM Cognos" xfId="43" xr:uid="{6651FBEC-6B8B-40FA-A001-AD1C9B80E79F}"/>
    <cellStyle name="DQR Data Default - IBM Cognos" xfId="44" xr:uid="{D58D4127-FE97-4CF5-8273-E350395D01DE}"/>
    <cellStyle name="DQR Default - IBM Cognos" xfId="45" xr:uid="{F7CC6D88-77FC-41B2-A55E-E01D5ED190BE}"/>
    <cellStyle name="DQR Row 0 - IBM Cognos" xfId="46" xr:uid="{14409F99-A0B9-4F99-B38B-15533CF72EB0}"/>
    <cellStyle name="DQR Row 1 - IBM Cognos" xfId="47" xr:uid="{5E9A9031-5C2C-44C6-B91D-56EFE8BBF5AC}"/>
    <cellStyle name="DQR Row 2 - IBM Cognos" xfId="48" xr:uid="{3DDAAA2A-569D-45E7-A450-24E83718D84A}"/>
    <cellStyle name="DQR Row 3 - IBM Cognos" xfId="49" xr:uid="{DA0A4CB3-A1CC-47A8-A0B3-1C647C71A026}"/>
    <cellStyle name="DQR Row 4 - IBM Cognos" xfId="50" xr:uid="{186B9B8F-71C4-4A11-BD99-6FD83DE44AFB}"/>
    <cellStyle name="DQR Row 5 - IBM Cognos" xfId="51" xr:uid="{6F49438B-5F70-4C47-B951-22E624C195C4}"/>
    <cellStyle name="DQR Row Default - IBM Cognos" xfId="52" xr:uid="{1514809A-80A5-410F-A84B-F11D84F6C3BF}"/>
    <cellStyle name="DQR Row Leaf - IBM Cognos" xfId="53" xr:uid="{0C1FF2E4-E2F5-4E0A-A60D-151611C0B6B3}"/>
    <cellStyle name="Edit - IBM Cognos" xfId="54" xr:uid="{1FA74E30-7705-48A5-9AA2-581A9ECC4B2A}"/>
    <cellStyle name="Formula - IBM Cognos" xfId="55" xr:uid="{A51EA467-D40F-47A8-A9BA-F428956C8246}"/>
    <cellStyle name="Group Name - IBM Cognos" xfId="56" xr:uid="{422D5F0F-4E3E-4993-96EB-580CC8545977}"/>
    <cellStyle name="Hold Values - IBM Cognos" xfId="57" xr:uid="{3D5C44A7-834D-4033-85CF-5DA92C8D20C0}"/>
    <cellStyle name="List Name - IBM Cognos" xfId="58" xr:uid="{76709DD2-6343-4BF4-8F60-0B0F352C8DD1}"/>
    <cellStyle name="Locked - IBM Cognos" xfId="59" xr:uid="{E0D3EDB0-154F-47F1-AEE7-9E3D9D92F285}"/>
    <cellStyle name="Measure - IBM Cognos" xfId="60" xr:uid="{A2BF0144-7A29-4A05-A986-612990120A87}"/>
    <cellStyle name="Measure Header - IBM Cognos" xfId="61" xr:uid="{66DA5BB3-1BB2-4A7A-852C-1CEB18EC3CF4}"/>
    <cellStyle name="Measure Name - IBM Cognos" xfId="62" xr:uid="{9D1C4E65-FBF5-4785-AC72-F80F99F735B9}"/>
    <cellStyle name="Measure Summary - IBM Cognos" xfId="63" xr:uid="{AEE4D7AC-574A-4F03-AD93-7846C3562664}"/>
    <cellStyle name="Measure Summary TM1 - IBM Cognos" xfId="64" xr:uid="{DC97388C-F98E-4036-955D-B9685A3019BC}"/>
    <cellStyle name="Measure Template - IBM Cognos" xfId="65" xr:uid="{152FCD0F-1202-4BDC-938C-1DE97C0F690D}"/>
    <cellStyle name="More - IBM Cognos" xfId="66" xr:uid="{CEE8545E-412B-4B20-ABC6-4D9D0755C209}"/>
    <cellStyle name="Normal" xfId="0" builtinId="0" customBuiltin="1"/>
    <cellStyle name="Pending Change - IBM Cognos" xfId="67" xr:uid="{A534EA28-F95D-42CE-9A36-8545885347A1}"/>
    <cellStyle name="Porcentagem" xfId="1" builtinId="5"/>
    <cellStyle name="Row Name - IBM Cognos" xfId="68" xr:uid="{C81CD489-F33E-463F-8C0C-B27B667723D5}"/>
    <cellStyle name="Row Template - IBM Cognos" xfId="69" xr:uid="{A6676E65-A6BE-4509-9E54-4E16C28CF484}"/>
    <cellStyle name="Summary Column Name - IBM Cognos" xfId="70" xr:uid="{54DBC647-C128-4DE4-97E0-B5AC544BF59C}"/>
    <cellStyle name="Summary Column Name TM1 - IBM Cognos" xfId="71" xr:uid="{76C1FBA2-CADF-4511-92F0-615ECD1917FF}"/>
    <cellStyle name="Summary Row Name - IBM Cognos" xfId="72" xr:uid="{7D3A1F44-EE6A-41F7-972A-9C8EB591A3C5}"/>
    <cellStyle name="Summary Row Name TM1 - IBM Cognos" xfId="73" xr:uid="{AEF9A8AC-9094-4318-A7C3-A55A7F099E2B}"/>
    <cellStyle name="Unsaved Change - IBM Cognos" xfId="74" xr:uid="{88B28657-B815-40AC-9A1A-8E9FDB786D8F}"/>
  </cellStyles>
  <dxfs count="4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1920384951881"/>
          <c:y val="2.5428331875182269E-2"/>
          <c:w val="0.85847462817147857"/>
          <c:h val="0.842045056867891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Planilha!$D$22:$O$24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Planilha!$D$25:$O$25</c:f>
              <c:numCache>
                <c:formatCode>#,##0</c:formatCode>
                <c:ptCount val="12"/>
                <c:pt idx="0">
                  <c:v>11964417.31035147</c:v>
                </c:pt>
                <c:pt idx="1">
                  <c:v>13510109.911713924</c:v>
                </c:pt>
                <c:pt idx="2">
                  <c:v>13336312.594652392</c:v>
                </c:pt>
                <c:pt idx="3">
                  <c:v>14561349.862889873</c:v>
                </c:pt>
                <c:pt idx="4">
                  <c:v>14736300.880419174</c:v>
                </c:pt>
                <c:pt idx="5">
                  <c:v>12518922.95989982</c:v>
                </c:pt>
                <c:pt idx="6">
                  <c:v>13635308.173179822</c:v>
                </c:pt>
                <c:pt idx="7">
                  <c:v>13748708.895149121</c:v>
                </c:pt>
                <c:pt idx="8">
                  <c:v>13166591.016818816</c:v>
                </c:pt>
                <c:pt idx="9">
                  <c:v>15402798.337235792</c:v>
                </c:pt>
                <c:pt idx="10">
                  <c:v>14297835.030557323</c:v>
                </c:pt>
                <c:pt idx="11">
                  <c:v>16269783.443624822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0E-49D7-BADA-FBB2863B0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4649951"/>
        <c:axId val="422323855"/>
      </c:barChart>
      <c:catAx>
        <c:axId val="48464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2323855"/>
        <c:crosses val="autoZero"/>
        <c:auto val="1"/>
        <c:lblAlgn val="ctr"/>
        <c:lblOffset val="100"/>
        <c:noMultiLvlLbl val="0"/>
      </c:catAx>
      <c:valAx>
        <c:axId val="42232385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84649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971551</xdr:colOff>
      <xdr:row>36</xdr:row>
      <xdr:rowOff>147637</xdr:rowOff>
    </xdr:from>
    <xdr:to>
      <xdr:col>16</xdr:col>
      <xdr:colOff>266701</xdr:colOff>
      <xdr:row>44</xdr:row>
      <xdr:rowOff>31750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4BAE54-09DD-FAD8-2AC9-34552917E4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customProperty" Target="../customProperty2.bin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39E8F-D360-4865-A1C0-9F723905A7CC}">
  <sheetPr codeName="Planilha1"/>
  <dimension ref="B1:B8"/>
  <sheetViews>
    <sheetView workbookViewId="0"/>
  </sheetViews>
  <sheetFormatPr defaultRowHeight="15" x14ac:dyDescent="0.25"/>
  <sheetData>
    <row r="1" spans="2:2" x14ac:dyDescent="0.25">
      <c r="B1" t="s">
        <v>36</v>
      </c>
    </row>
    <row r="2" spans="2:2" x14ac:dyDescent="0.25">
      <c r="B2" s="1" t="s">
        <v>37</v>
      </c>
    </row>
    <row r="3" spans="2:2" x14ac:dyDescent="0.25">
      <c r="B3" s="1" t="s">
        <v>38</v>
      </c>
    </row>
    <row r="4" spans="2:2" x14ac:dyDescent="0.25">
      <c r="B4" s="1" t="s">
        <v>39</v>
      </c>
    </row>
    <row r="5" spans="2:2" x14ac:dyDescent="0.25">
      <c r="B5" s="1" t="s">
        <v>40</v>
      </c>
    </row>
    <row r="6" spans="2:2" x14ac:dyDescent="0.25">
      <c r="B6" s="1" t="s">
        <v>41</v>
      </c>
    </row>
    <row r="7" spans="2:2" x14ac:dyDescent="0.25">
      <c r="B7" s="1" t="s">
        <v>42</v>
      </c>
    </row>
    <row r="8" spans="2:2" x14ac:dyDescent="0.25">
      <c r="B8" s="1" t="s">
        <v>43</v>
      </c>
    </row>
  </sheetData>
  <pageMargins left="0.511811024" right="0.511811024" top="0.78740157499999996" bottom="0.78740157499999996" header="0.31496062000000002" footer="0.31496062000000002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F31C5-AC87-4614-AD8D-8C6D36F4B634}">
  <sheetPr codeName="Planilha2"/>
  <dimension ref="A1:S36"/>
  <sheetViews>
    <sheetView showGridLines="0" tabSelected="1" topLeftCell="A15" zoomScaleNormal="100" workbookViewId="0"/>
  </sheetViews>
  <sheetFormatPr defaultRowHeight="15" x14ac:dyDescent="0.25"/>
  <cols>
    <col min="1" max="1" width="2.7109375" customWidth="1"/>
    <col min="2" max="2" width="25.7109375" hidden="1" customWidth="1"/>
    <col min="3" max="3" width="25.7109375" customWidth="1"/>
    <col min="4" max="15" width="10.28515625" customWidth="1"/>
    <col min="16" max="16" width="12.140625" customWidth="1"/>
    <col min="17" max="17" width="11.85546875" customWidth="1"/>
    <col min="18" max="18" width="11" customWidth="1"/>
    <col min="19" max="19" width="10.28515625" customWidth="1"/>
  </cols>
  <sheetData>
    <row r="1" spans="1:19" hidden="1" x14ac:dyDescent="0.25"/>
    <row r="2" spans="1:19" hidden="1" x14ac:dyDescent="0.25"/>
    <row r="3" spans="1:19" hidden="1" x14ac:dyDescent="0.25">
      <c r="B3" s="1" t="s">
        <v>28</v>
      </c>
    </row>
    <row r="4" spans="1:19" s="10" customFormat="1" ht="18.75" hidden="1" customHeight="1" x14ac:dyDescent="0.25">
      <c r="B4" s="10">
        <v>0</v>
      </c>
      <c r="C4" s="11" t="s">
        <v>32</v>
      </c>
      <c r="D4" s="12">
        <v>123.456789</v>
      </c>
      <c r="E4" s="12">
        <v>123.456789</v>
      </c>
      <c r="F4" s="12">
        <v>123.456789</v>
      </c>
      <c r="G4" s="12">
        <v>123.456789</v>
      </c>
      <c r="H4" s="12">
        <v>123.456789</v>
      </c>
      <c r="I4" s="12">
        <v>123.456789</v>
      </c>
      <c r="J4" s="12">
        <v>123.456789</v>
      </c>
      <c r="K4" s="12">
        <v>123.456789</v>
      </c>
      <c r="L4" s="12">
        <v>123.456789</v>
      </c>
      <c r="M4" s="12">
        <v>123.456789</v>
      </c>
      <c r="N4" s="12">
        <v>123.456789</v>
      </c>
      <c r="O4" s="12">
        <v>123.456789</v>
      </c>
      <c r="P4" s="12">
        <v>123.456789</v>
      </c>
      <c r="Q4" s="37">
        <v>123.456789</v>
      </c>
      <c r="R4" s="12">
        <v>123.456789</v>
      </c>
      <c r="S4" s="45">
        <v>123.456789</v>
      </c>
    </row>
    <row r="5" spans="1:19" s="13" customFormat="1" ht="18.75" hidden="1" customHeight="1" x14ac:dyDescent="0.25">
      <c r="B5" s="13">
        <v>1</v>
      </c>
      <c r="C5" s="14" t="s">
        <v>32</v>
      </c>
      <c r="D5" s="15">
        <v>123.456789</v>
      </c>
      <c r="E5" s="15">
        <v>123.456789</v>
      </c>
      <c r="F5" s="15">
        <v>123.456789</v>
      </c>
      <c r="G5" s="15">
        <v>123.456789</v>
      </c>
      <c r="H5" s="15">
        <v>123.456789</v>
      </c>
      <c r="I5" s="15">
        <v>123.456789</v>
      </c>
      <c r="J5" s="15">
        <v>123.456789</v>
      </c>
      <c r="K5" s="15">
        <v>123.456789</v>
      </c>
      <c r="L5" s="15">
        <v>123.456789</v>
      </c>
      <c r="M5" s="15">
        <v>123.456789</v>
      </c>
      <c r="N5" s="15">
        <v>123.456789</v>
      </c>
      <c r="O5" s="15">
        <v>123.456789</v>
      </c>
      <c r="P5" s="15">
        <v>123.456789</v>
      </c>
      <c r="Q5" s="38">
        <v>123.456789</v>
      </c>
      <c r="R5" s="15">
        <v>123.456789</v>
      </c>
      <c r="S5" s="46">
        <v>123.456789</v>
      </c>
    </row>
    <row r="6" spans="1:19" s="16" customFormat="1" ht="18.75" hidden="1" customHeight="1" x14ac:dyDescent="0.25">
      <c r="B6" s="16">
        <v>2</v>
      </c>
      <c r="C6" s="17" t="s">
        <v>32</v>
      </c>
      <c r="D6" s="18">
        <v>123.456789</v>
      </c>
      <c r="E6" s="18">
        <v>123.456789</v>
      </c>
      <c r="F6" s="18">
        <v>123.456789</v>
      </c>
      <c r="G6" s="18">
        <v>123.456789</v>
      </c>
      <c r="H6" s="18">
        <v>123.456789</v>
      </c>
      <c r="I6" s="18">
        <v>123.456789</v>
      </c>
      <c r="J6" s="18">
        <v>123.456789</v>
      </c>
      <c r="K6" s="18">
        <v>123.456789</v>
      </c>
      <c r="L6" s="18">
        <v>123.456789</v>
      </c>
      <c r="M6" s="18">
        <v>123.456789</v>
      </c>
      <c r="N6" s="18">
        <v>123.456789</v>
      </c>
      <c r="O6" s="18">
        <v>123.456789</v>
      </c>
      <c r="P6" s="18">
        <v>123.456789</v>
      </c>
      <c r="Q6" s="39">
        <v>123.456789</v>
      </c>
      <c r="R6" s="18">
        <v>123.456789</v>
      </c>
      <c r="S6" s="47">
        <v>123.456789</v>
      </c>
    </row>
    <row r="7" spans="1:19" s="19" customFormat="1" ht="18.75" hidden="1" customHeight="1" x14ac:dyDescent="0.25">
      <c r="B7" s="19">
        <v>3</v>
      </c>
      <c r="C7" s="17" t="s">
        <v>32</v>
      </c>
      <c r="D7" s="18">
        <v>123.456789</v>
      </c>
      <c r="E7" s="18">
        <v>123.456789</v>
      </c>
      <c r="F7" s="18">
        <v>123.456789</v>
      </c>
      <c r="G7" s="18">
        <v>123.456789</v>
      </c>
      <c r="H7" s="18">
        <v>123.456789</v>
      </c>
      <c r="I7" s="18">
        <v>123.456789</v>
      </c>
      <c r="J7" s="18">
        <v>123.456789</v>
      </c>
      <c r="K7" s="18">
        <v>123.456789</v>
      </c>
      <c r="L7" s="18">
        <v>123.456789</v>
      </c>
      <c r="M7" s="18">
        <v>123.456789</v>
      </c>
      <c r="N7" s="18">
        <v>123.456789</v>
      </c>
      <c r="O7" s="18">
        <v>123.456789</v>
      </c>
      <c r="P7" s="18">
        <v>123.456789</v>
      </c>
      <c r="Q7" s="39">
        <v>123.456789</v>
      </c>
      <c r="R7" s="18">
        <v>123.456789</v>
      </c>
      <c r="S7" s="47">
        <v>123.456789</v>
      </c>
    </row>
    <row r="8" spans="1:19" s="20" customFormat="1" ht="18.75" hidden="1" customHeight="1" x14ac:dyDescent="0.25">
      <c r="B8" s="20">
        <v>4</v>
      </c>
      <c r="C8" s="21" t="s">
        <v>32</v>
      </c>
      <c r="D8" s="22">
        <v>123.456789</v>
      </c>
      <c r="E8" s="22">
        <v>123.456789</v>
      </c>
      <c r="F8" s="22">
        <v>123.456789</v>
      </c>
      <c r="G8" s="22">
        <v>123.456789</v>
      </c>
      <c r="H8" s="22">
        <v>123.456789</v>
      </c>
      <c r="I8" s="22">
        <v>123.456789</v>
      </c>
      <c r="J8" s="22">
        <v>123.456789</v>
      </c>
      <c r="K8" s="22">
        <v>123.456789</v>
      </c>
      <c r="L8" s="22">
        <v>123.456789</v>
      </c>
      <c r="M8" s="22">
        <v>123.456789</v>
      </c>
      <c r="N8" s="22">
        <v>123.456789</v>
      </c>
      <c r="O8" s="22">
        <v>123.456789</v>
      </c>
      <c r="P8" s="22">
        <v>123.456789</v>
      </c>
      <c r="Q8" s="40">
        <v>123.456789</v>
      </c>
      <c r="R8" s="22">
        <v>123.456789</v>
      </c>
      <c r="S8" s="47">
        <v>123.456789</v>
      </c>
    </row>
    <row r="9" spans="1:19" s="23" customFormat="1" ht="18.75" hidden="1" customHeight="1" x14ac:dyDescent="0.25">
      <c r="B9" s="23">
        <v>5</v>
      </c>
      <c r="C9" s="24" t="s">
        <v>32</v>
      </c>
      <c r="D9" s="25">
        <v>123.456789</v>
      </c>
      <c r="E9" s="25">
        <v>123.456789</v>
      </c>
      <c r="F9" s="25">
        <v>123.456789</v>
      </c>
      <c r="G9" s="25">
        <v>123.456789</v>
      </c>
      <c r="H9" s="25">
        <v>123.456789</v>
      </c>
      <c r="I9" s="25">
        <v>123.456789</v>
      </c>
      <c r="J9" s="25">
        <v>123.456789</v>
      </c>
      <c r="K9" s="25">
        <v>123.456789</v>
      </c>
      <c r="L9" s="25">
        <v>123.456789</v>
      </c>
      <c r="M9" s="25">
        <v>123.456789</v>
      </c>
      <c r="N9" s="25">
        <v>123.456789</v>
      </c>
      <c r="O9" s="25">
        <v>123.456789</v>
      </c>
      <c r="P9" s="25">
        <v>123.456789</v>
      </c>
      <c r="Q9" s="41">
        <v>123.456789</v>
      </c>
      <c r="R9" s="25">
        <v>123.456789</v>
      </c>
      <c r="S9" s="47">
        <v>123.456789</v>
      </c>
    </row>
    <row r="10" spans="1:19" s="26" customFormat="1" ht="18.75" hidden="1" customHeight="1" x14ac:dyDescent="0.25">
      <c r="B10" s="27" t="s">
        <v>29</v>
      </c>
      <c r="C10" s="28" t="s">
        <v>32</v>
      </c>
      <c r="D10" s="29">
        <v>123.456789</v>
      </c>
      <c r="E10" s="29">
        <v>123.456789</v>
      </c>
      <c r="F10" s="29">
        <v>123.456789</v>
      </c>
      <c r="G10" s="29">
        <v>123.456789</v>
      </c>
      <c r="H10" s="29">
        <v>123.456789</v>
      </c>
      <c r="I10" s="29">
        <v>123.456789</v>
      </c>
      <c r="J10" s="29">
        <v>123.456789</v>
      </c>
      <c r="K10" s="29">
        <v>123.456789</v>
      </c>
      <c r="L10" s="29">
        <v>123.456789</v>
      </c>
      <c r="M10" s="29">
        <v>123.456789</v>
      </c>
      <c r="N10" s="29">
        <v>123.456789</v>
      </c>
      <c r="O10" s="29">
        <v>123.456789</v>
      </c>
      <c r="P10" s="29">
        <v>123.456789</v>
      </c>
      <c r="Q10" s="42">
        <v>123.456789</v>
      </c>
      <c r="R10" s="29">
        <v>123.456789</v>
      </c>
      <c r="S10" s="47">
        <v>123.456789</v>
      </c>
    </row>
    <row r="11" spans="1:19" s="30" customFormat="1" ht="18.75" hidden="1" customHeight="1" x14ac:dyDescent="0.25">
      <c r="B11" s="31" t="s">
        <v>30</v>
      </c>
      <c r="C11" s="32" t="s">
        <v>32</v>
      </c>
      <c r="D11" s="33">
        <v>123.456789</v>
      </c>
      <c r="E11" s="33">
        <v>123.456789</v>
      </c>
      <c r="F11" s="33">
        <v>123.456789</v>
      </c>
      <c r="G11" s="33">
        <v>123.456789</v>
      </c>
      <c r="H11" s="33">
        <v>123.456789</v>
      </c>
      <c r="I11" s="33">
        <v>123.456789</v>
      </c>
      <c r="J11" s="33">
        <v>123.456789</v>
      </c>
      <c r="K11" s="33">
        <v>123.456789</v>
      </c>
      <c r="L11" s="33">
        <v>123.456789</v>
      </c>
      <c r="M11" s="33">
        <v>123.456789</v>
      </c>
      <c r="N11" s="33">
        <v>123.456789</v>
      </c>
      <c r="O11" s="33">
        <v>123.456789</v>
      </c>
      <c r="P11" s="33">
        <v>123.456789</v>
      </c>
      <c r="Q11" s="43">
        <v>123.456789</v>
      </c>
      <c r="R11" s="33">
        <v>123.456789</v>
      </c>
      <c r="S11" s="47">
        <v>123.456789</v>
      </c>
    </row>
    <row r="12" spans="1:19" hidden="1" x14ac:dyDescent="0.25">
      <c r="B12" s="1" t="s">
        <v>31</v>
      </c>
    </row>
    <row r="13" spans="1:19" hidden="1" x14ac:dyDescent="0.25">
      <c r="C13" s="1" t="s">
        <v>33</v>
      </c>
    </row>
    <row r="14" spans="1:19" hidden="1" x14ac:dyDescent="0.25">
      <c r="C14" t="str">
        <f>_xll.TM1RPTVIEW("smartco:Revenue:22131618",0,_xll.TM1RPTTITLE("smartco:organization",$D$16),_xll.TM1RPTTITLE("smartco:Revenue",$D$17),_xll.TM1RPTTITLE("smartco:Channel",$I$16),_xll.TM1RPTTITLE("smartco:Year",$I$17),TM1RPTFMTRNG22131618,TM1RPTFMTIDCOL22131618)</f>
        <v>smartco:Revenue:22131618</v>
      </c>
    </row>
    <row r="15" spans="1:19" x14ac:dyDescent="0.25">
      <c r="A15" s="7"/>
      <c r="B15" s="7"/>
      <c r="C15" s="7"/>
    </row>
    <row r="16" spans="1:19" x14ac:dyDescent="0.25">
      <c r="A16" s="7"/>
      <c r="B16" s="7"/>
      <c r="C16" s="8" t="s">
        <v>34</v>
      </c>
      <c r="D16" s="9" t="str">
        <f>_xll.SUBNM("smartco:organization","Workflow","Total Company","Caption_Default")</f>
        <v>Total Company</v>
      </c>
      <c r="E16" s="9"/>
      <c r="F16" s="9"/>
      <c r="G16" s="7"/>
      <c r="H16" s="8" t="s">
        <v>35</v>
      </c>
      <c r="I16" s="44" t="str">
        <f>_xll.SUBNM("smartco:Channel","Default","Channel Total","Caption_Default")</f>
        <v>Channel Total</v>
      </c>
      <c r="J16" s="9"/>
      <c r="K16" s="9"/>
    </row>
    <row r="17" spans="1:19" x14ac:dyDescent="0.25">
      <c r="A17" s="7"/>
      <c r="B17" s="7"/>
      <c r="C17" s="8" t="s">
        <v>24</v>
      </c>
      <c r="D17" s="44" t="str">
        <f>_xll.SUBNM("smartco:Revenue","Default","Gross Revenue","Caption_Default")</f>
        <v>Gross Revenue</v>
      </c>
      <c r="E17" s="9"/>
      <c r="F17" s="9"/>
      <c r="G17" s="7"/>
      <c r="H17" s="8" t="s">
        <v>12</v>
      </c>
      <c r="I17" s="9" t="str">
        <f>_xll.SUBNM("smartco:Year","Default","2020","Caption_Default")</f>
        <v>2020</v>
      </c>
      <c r="J17" s="9"/>
      <c r="K17" s="9"/>
    </row>
    <row r="18" spans="1:19" hidden="1" x14ac:dyDescent="0.25"/>
    <row r="19" spans="1:19" hidden="1" x14ac:dyDescent="0.25"/>
    <row r="21" spans="1:19" ht="15.75" thickBot="1" x14ac:dyDescent="0.3">
      <c r="D21" s="3" t="str">
        <f>I17</f>
        <v>2020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5">
        <f>I17-1</f>
        <v>2019</v>
      </c>
      <c r="R21" s="5"/>
      <c r="S21" s="5"/>
    </row>
    <row r="22" spans="1:19" ht="15.75" thickBot="1" x14ac:dyDescent="0.3">
      <c r="D22" s="4" t="s">
        <v>0</v>
      </c>
      <c r="E22" s="4" t="s">
        <v>1</v>
      </c>
      <c r="F22" s="4" t="s">
        <v>2</v>
      </c>
      <c r="G22" s="4" t="s">
        <v>3</v>
      </c>
      <c r="H22" s="4" t="s">
        <v>4</v>
      </c>
      <c r="I22" s="4" t="s">
        <v>5</v>
      </c>
      <c r="J22" s="4" t="s">
        <v>6</v>
      </c>
      <c r="K22" s="4" t="s">
        <v>7</v>
      </c>
      <c r="L22" s="4" t="s">
        <v>8</v>
      </c>
      <c r="M22" s="4" t="s">
        <v>9</v>
      </c>
      <c r="N22" s="4" t="s">
        <v>10</v>
      </c>
      <c r="O22" s="4" t="s">
        <v>11</v>
      </c>
      <c r="P22" s="4" t="s">
        <v>12</v>
      </c>
      <c r="Q22" s="6" t="s">
        <v>12</v>
      </c>
      <c r="R22" s="6" t="s">
        <v>26</v>
      </c>
      <c r="S22" s="6" t="s">
        <v>27</v>
      </c>
    </row>
    <row r="23" spans="1:19" ht="15.75" hidden="1" thickBot="1" x14ac:dyDescent="0.3">
      <c r="D23" s="2" t="s">
        <v>25</v>
      </c>
      <c r="E23" s="2" t="s">
        <v>25</v>
      </c>
      <c r="F23" s="2" t="s">
        <v>25</v>
      </c>
      <c r="G23" s="2" t="s">
        <v>25</v>
      </c>
      <c r="H23" s="2" t="s">
        <v>25</v>
      </c>
      <c r="I23" s="2" t="s">
        <v>25</v>
      </c>
      <c r="J23" s="2" t="s">
        <v>25</v>
      </c>
      <c r="K23" s="2" t="s">
        <v>25</v>
      </c>
      <c r="L23" s="2" t="s">
        <v>25</v>
      </c>
      <c r="M23" s="2" t="s">
        <v>25</v>
      </c>
      <c r="N23" s="2" t="s">
        <v>25</v>
      </c>
      <c r="O23" s="2" t="s">
        <v>25</v>
      </c>
      <c r="P23" s="2" t="s">
        <v>25</v>
      </c>
      <c r="Q23" s="2" t="s">
        <v>25</v>
      </c>
      <c r="R23" s="2" t="s">
        <v>26</v>
      </c>
      <c r="S23" s="2" t="s">
        <v>27</v>
      </c>
    </row>
    <row r="24" spans="1:19" ht="15.75" hidden="1" thickBot="1" x14ac:dyDescent="0.3">
      <c r="D24" s="2" t="s">
        <v>0</v>
      </c>
      <c r="E24" s="2" t="s">
        <v>1</v>
      </c>
      <c r="F24" s="2" t="s">
        <v>2</v>
      </c>
      <c r="G24" s="2" t="s">
        <v>3</v>
      </c>
      <c r="H24" s="2" t="s">
        <v>4</v>
      </c>
      <c r="I24" s="2" t="s">
        <v>5</v>
      </c>
      <c r="J24" s="2" t="s">
        <v>6</v>
      </c>
      <c r="K24" s="2" t="s">
        <v>7</v>
      </c>
      <c r="L24" s="2" t="s">
        <v>8</v>
      </c>
      <c r="M24" s="2" t="s">
        <v>9</v>
      </c>
      <c r="N24" s="2" t="s">
        <v>10</v>
      </c>
      <c r="O24" s="2" t="s">
        <v>11</v>
      </c>
      <c r="P24" s="2" t="s">
        <v>12</v>
      </c>
      <c r="Q24" s="2" t="s">
        <v>12</v>
      </c>
      <c r="R24" s="2" t="s">
        <v>12</v>
      </c>
      <c r="S24" s="2" t="s">
        <v>12</v>
      </c>
    </row>
    <row r="25" spans="1:19" s="10" customFormat="1" ht="18.75" customHeight="1" x14ac:dyDescent="0.25">
      <c r="B25" s="10">
        <f>IF(_xll.TM1RPTELISCONSOLIDATED($C$25,$C25),IF(_xll.TM1RPTELLEV($C$25,$C25)&lt;=5,_xll.TM1RPTELLEV($C$25,$C25),"Default"),"Leaf")</f>
        <v>0</v>
      </c>
      <c r="C25" s="34" t="str">
        <f>_xll.TM1RPTROW($C$14,"smartco:product",,,"Caption_Default",FALSE,C$13)</f>
        <v>Product Total</v>
      </c>
      <c r="D25" s="12">
        <f>_xll.DBRW($C$14,$D$16,$I$16,$C25,D$24,$I$17,D$23,$D$17)</f>
        <v>11964417.31035147</v>
      </c>
      <c r="E25" s="12">
        <f>_xll.DBRW($C$14,$D$16,$I$16,$C25,E$24,$I$17,E$23,$D$17)</f>
        <v>13510109.911713924</v>
      </c>
      <c r="F25" s="12">
        <f>_xll.DBRW($C$14,$D$16,$I$16,$C25,F$24,$I$17,F$23,$D$17)</f>
        <v>13336312.594652392</v>
      </c>
      <c r="G25" s="12">
        <f>_xll.DBRW($C$14,$D$16,$I$16,$C25,G$24,$I$17,G$23,$D$17)</f>
        <v>14561349.862889873</v>
      </c>
      <c r="H25" s="12">
        <f>_xll.DBRW($C$14,$D$16,$I$16,$C25,H$24,$I$17,H$23,$D$17)</f>
        <v>14736300.880419174</v>
      </c>
      <c r="I25" s="12">
        <f>_xll.DBRW($C$14,$D$16,$I$16,$C25,I$24,$I$17,I$23,$D$17)</f>
        <v>12518922.95989982</v>
      </c>
      <c r="J25" s="12">
        <f>_xll.DBRW($C$14,$D$16,$I$16,$C25,J$24,$I$17,J$23,$D$17)</f>
        <v>13635308.173179822</v>
      </c>
      <c r="K25" s="12">
        <f>_xll.DBRW($C$14,$D$16,$I$16,$C25,K$24,$I$17,K$23,$D$17)</f>
        <v>13748708.895149121</v>
      </c>
      <c r="L25" s="12">
        <f>_xll.DBRW($C$14,$D$16,$I$16,$C25,L$24,$I$17,L$23,$D$17)</f>
        <v>13166591.016818816</v>
      </c>
      <c r="M25" s="12">
        <f>_xll.DBRW($C$14,$D$16,$I$16,$C25,M$24,$I$17,M$23,$D$17)</f>
        <v>15402798.337235792</v>
      </c>
      <c r="N25" s="12">
        <f>_xll.DBRW($C$14,$D$16,$I$16,$C25,N$24,$I$17,N$23,$D$17)</f>
        <v>14297835.030557323</v>
      </c>
      <c r="O25" s="12">
        <f>_xll.DBRW($C$14,$D$16,$I$16,$C25,O$24,$I$17,O$23,$D$17)</f>
        <v>16269783.443624822</v>
      </c>
      <c r="P25" s="12">
        <f>_xll.DBRW($C$14,$D$16,$I$16,$C25,P$24,$I$17,P$23,$D$17)</f>
        <v>167148438.41649246</v>
      </c>
      <c r="Q25" s="37">
        <f>_xll.DBRW($C$14,$D$16,$I$16,$C25,Q$24,$Q$21,Q$23,$D$17)</f>
        <v>162145752.48684153</v>
      </c>
      <c r="R25" s="12">
        <f>P25-Q25</f>
        <v>5002685.9296509326</v>
      </c>
      <c r="S25" s="45">
        <f>R25/P25</f>
        <v>2.9929600162853329E-2</v>
      </c>
    </row>
    <row r="26" spans="1:19" s="13" customFormat="1" ht="18.75" customHeight="1" x14ac:dyDescent="0.25">
      <c r="B26" s="13">
        <f>IF(_xll.TM1RPTELISCONSOLIDATED($C$25,$C26),IF(_xll.TM1RPTELLEV($C$25,$C26)&lt;=5,_xll.TM1RPTELLEV($C$25,$C26),"Default"),"Leaf")</f>
        <v>1</v>
      </c>
      <c r="C26" s="35" t="s">
        <v>13</v>
      </c>
      <c r="D26" s="15">
        <f>_xll.DBRW($C$14,$D$16,$I$16,$C26,D$24,$I$17,D$23,$D$17)</f>
        <v>1040436.7180082184</v>
      </c>
      <c r="E26" s="15">
        <f>_xll.DBRW($C$14,$D$16,$I$16,$C26,E$24,$I$17,E$23,$D$17)</f>
        <v>988754.62180958863</v>
      </c>
      <c r="F26" s="15">
        <f>_xll.DBRW($C$14,$D$16,$I$16,$C26,F$24,$I$17,F$23,$D$17)</f>
        <v>1014258.1441914705</v>
      </c>
      <c r="G26" s="15">
        <f>_xll.DBRW($C$14,$D$16,$I$16,$C26,G$24,$I$17,G$23,$D$17)</f>
        <v>1041961.3336119121</v>
      </c>
      <c r="H26" s="15">
        <f>_xll.DBRW($C$14,$D$16,$I$16,$C26,H$24,$I$17,H$23,$D$17)</f>
        <v>957477.4870289173</v>
      </c>
      <c r="I26" s="15">
        <f>_xll.DBRW($C$14,$D$16,$I$16,$C26,I$24,$I$17,I$23,$D$17)</f>
        <v>1098045.9172762663</v>
      </c>
      <c r="J26" s="15">
        <f>_xll.DBRW($C$14,$D$16,$I$16,$C26,J$24,$I$17,J$23,$D$17)</f>
        <v>1151467.3536743894</v>
      </c>
      <c r="K26" s="15">
        <f>_xll.DBRW($C$14,$D$16,$I$16,$C26,K$24,$I$17,K$23,$D$17)</f>
        <v>1208196.1026116912</v>
      </c>
      <c r="L26" s="15">
        <f>_xll.DBRW($C$14,$D$16,$I$16,$C26,L$24,$I$17,L$23,$D$17)</f>
        <v>1173770.4705251809</v>
      </c>
      <c r="M26" s="15">
        <f>_xll.DBRW($C$14,$D$16,$I$16,$C26,M$24,$I$17,M$23,$D$17)</f>
        <v>1165665.3057242758</v>
      </c>
      <c r="N26" s="15">
        <f>_xll.DBRW($C$14,$D$16,$I$16,$C26,N$24,$I$17,N$23,$D$17)</f>
        <v>1279032.8355444588</v>
      </c>
      <c r="O26" s="15">
        <f>_xll.DBRW($C$14,$D$16,$I$16,$C26,O$24,$I$17,O$23,$D$17)</f>
        <v>1433653.1782387763</v>
      </c>
      <c r="P26" s="15">
        <f>_xll.DBRW($C$14,$D$16,$I$16,$C26,P$24,$I$17,P$23,$D$17)</f>
        <v>13552719.468245141</v>
      </c>
      <c r="Q26" s="38">
        <f>_xll.DBRW($C$14,$D$16,$I$16,$C26,Q$24,$Q$21,Q$23,$D$17)</f>
        <v>9035887.3280784115</v>
      </c>
      <c r="R26" s="15">
        <f>P26-Q26</f>
        <v>4516832.1401667297</v>
      </c>
      <c r="S26" s="46">
        <f>R26/P26</f>
        <v>0.33327865678544782</v>
      </c>
    </row>
    <row r="27" spans="1:19" s="16" customFormat="1" ht="18.75" customHeight="1" x14ac:dyDescent="0.25">
      <c r="B27" s="16">
        <f>IF(_xll.TM1RPTELISCONSOLIDATED($C$25,$C27),IF(_xll.TM1RPTELLEV($C$25,$C27)&lt;=5,_xll.TM1RPTELLEV($C$25,$C27),"Default"),"Leaf")</f>
        <v>2</v>
      </c>
      <c r="C27" s="36" t="s">
        <v>14</v>
      </c>
      <c r="D27" s="18">
        <f>_xll.DBRW($C$14,$D$16,$I$16,$C27,D$24,$I$17,D$23,$D$17)</f>
        <v>127336.84712660586</v>
      </c>
      <c r="E27" s="18">
        <f>_xll.DBRW($C$14,$D$16,$I$16,$C27,E$24,$I$17,E$23,$D$17)</f>
        <v>113243.9669656262</v>
      </c>
      <c r="F27" s="18">
        <f>_xll.DBRW($C$14,$D$16,$I$16,$C27,F$24,$I$17,F$23,$D$17)</f>
        <v>114030.47801985267</v>
      </c>
      <c r="G27" s="18">
        <f>_xll.DBRW($C$14,$D$16,$I$16,$C27,G$24,$I$17,G$23,$D$17)</f>
        <v>114810.05617343314</v>
      </c>
      <c r="H27" s="18">
        <f>_xll.DBRW($C$14,$D$16,$I$16,$C27,H$24,$I$17,H$23,$D$17)</f>
        <v>107291.66168045532</v>
      </c>
      <c r="I27" s="18">
        <f>_xll.DBRW($C$14,$D$16,$I$16,$C27,I$24,$I$17,I$23,$D$17)</f>
        <v>116150.11941954574</v>
      </c>
      <c r="J27" s="18">
        <f>_xll.DBRW($C$14,$D$16,$I$16,$C27,J$24,$I$17,J$23,$D$17)</f>
        <v>189231.5474999329</v>
      </c>
      <c r="K27" s="18">
        <f>_xll.DBRW($C$14,$D$16,$I$16,$C27,K$24,$I$17,K$23,$D$17)</f>
        <v>136436.27408564265</v>
      </c>
      <c r="L27" s="18">
        <f>_xll.DBRW($C$14,$D$16,$I$16,$C27,L$24,$I$17,L$23,$D$17)</f>
        <v>114097.96934630547</v>
      </c>
      <c r="M27" s="18">
        <f>_xll.DBRW($C$14,$D$16,$I$16,$C27,M$24,$I$17,M$23,$D$17)</f>
        <v>121737.7267306404</v>
      </c>
      <c r="N27" s="18">
        <f>_xll.DBRW($C$14,$D$16,$I$16,$C27,N$24,$I$17,N$23,$D$17)</f>
        <v>134326.73234438236</v>
      </c>
      <c r="O27" s="18">
        <f>_xll.DBRW($C$14,$D$16,$I$16,$C27,O$24,$I$17,O$23,$D$17)</f>
        <v>152079.48968432719</v>
      </c>
      <c r="P27" s="18">
        <f>_xll.DBRW($C$14,$D$16,$I$16,$C27,P$24,$I$17,P$23,$D$17)</f>
        <v>1540772.86907675</v>
      </c>
      <c r="Q27" s="39">
        <f>_xll.DBRW($C$14,$D$16,$I$16,$C27,Q$24,$Q$21,Q$23,$D$17)</f>
        <v>1261693.4122489279</v>
      </c>
      <c r="R27" s="18">
        <f>P27-Q27</f>
        <v>279079.45682782214</v>
      </c>
      <c r="S27" s="47">
        <f>R27/P27</f>
        <v>0.18112952429844509</v>
      </c>
    </row>
    <row r="28" spans="1:19" s="16" customFormat="1" ht="18.75" customHeight="1" x14ac:dyDescent="0.25">
      <c r="B28" s="16">
        <f>IF(_xll.TM1RPTELISCONSOLIDATED($C$25,$C28),IF(_xll.TM1RPTELLEV($C$25,$C28)&lt;=5,_xll.TM1RPTELLEV($C$25,$C28),"Default"),"Leaf")</f>
        <v>2</v>
      </c>
      <c r="C28" s="36" t="s">
        <v>15</v>
      </c>
      <c r="D28" s="18">
        <f>_xll.DBRW($C$14,$D$16,$I$16,$C28,D$24,$I$17,D$23,$D$17)</f>
        <v>551249.81114265474</v>
      </c>
      <c r="E28" s="18">
        <f>_xll.DBRW($C$14,$D$16,$I$16,$C28,E$24,$I$17,E$23,$D$17)</f>
        <v>544713.71529043932</v>
      </c>
      <c r="F28" s="18">
        <f>_xll.DBRW($C$14,$D$16,$I$16,$C28,F$24,$I$17,F$23,$D$17)</f>
        <v>548649.89900325087</v>
      </c>
      <c r="G28" s="18">
        <f>_xll.DBRW($C$14,$D$16,$I$16,$C28,G$24,$I$17,G$23,$D$17)</f>
        <v>564631.87754807773</v>
      </c>
      <c r="H28" s="18">
        <f>_xll.DBRW($C$14,$D$16,$I$16,$C28,H$24,$I$17,H$23,$D$17)</f>
        <v>515915.28789003042</v>
      </c>
      <c r="I28" s="18">
        <f>_xll.DBRW($C$14,$D$16,$I$16,$C28,I$24,$I$17,I$23,$D$17)</f>
        <v>595774.33538065071</v>
      </c>
      <c r="J28" s="18">
        <f>_xll.DBRW($C$14,$D$16,$I$16,$C28,J$24,$I$17,J$23,$D$17)</f>
        <v>589134.73763386067</v>
      </c>
      <c r="K28" s="18">
        <f>_xll.DBRW($C$14,$D$16,$I$16,$C28,K$24,$I$17,K$23,$D$17)</f>
        <v>692194.64653379656</v>
      </c>
      <c r="L28" s="18">
        <f>_xll.DBRW($C$14,$D$16,$I$16,$C28,L$24,$I$17,L$23,$D$17)</f>
        <v>663068.8208538699</v>
      </c>
      <c r="M28" s="18">
        <f>_xll.DBRW($C$14,$D$16,$I$16,$C28,M$24,$I$17,M$23,$D$17)</f>
        <v>649833.06550618797</v>
      </c>
      <c r="N28" s="18">
        <f>_xll.DBRW($C$14,$D$16,$I$16,$C28,N$24,$I$17,N$23,$D$17)</f>
        <v>692823.66648147313</v>
      </c>
      <c r="O28" s="18">
        <f>_xll.DBRW($C$14,$D$16,$I$16,$C28,O$24,$I$17,O$23,$D$17)</f>
        <v>778600.34795940865</v>
      </c>
      <c r="P28" s="18">
        <f>_xll.DBRW($C$14,$D$16,$I$16,$C28,P$24,$I$17,P$23,$D$17)</f>
        <v>7386590.2112237001</v>
      </c>
      <c r="Q28" s="39">
        <f>_xll.DBRW($C$14,$D$16,$I$16,$C28,Q$24,$Q$21,Q$23,$D$17)</f>
        <v>4920227.9801356252</v>
      </c>
      <c r="R28" s="18">
        <f>P28-Q28</f>
        <v>2466362.2310880749</v>
      </c>
      <c r="S28" s="47">
        <f>R28/P28</f>
        <v>0.33389725983993429</v>
      </c>
    </row>
    <row r="29" spans="1:19" s="16" customFormat="1" ht="18.75" customHeight="1" x14ac:dyDescent="0.25">
      <c r="B29" s="16">
        <f>IF(_xll.TM1RPTELISCONSOLIDATED($C$25,$C29),IF(_xll.TM1RPTELLEV($C$25,$C29)&lt;=5,_xll.TM1RPTELLEV($C$25,$C29),"Default"),"Leaf")</f>
        <v>2</v>
      </c>
      <c r="C29" s="36" t="s">
        <v>16</v>
      </c>
      <c r="D29" s="18">
        <f>_xll.DBRW($C$14,$D$16,$I$16,$C29,D$24,$I$17,D$23,$D$17)</f>
        <v>361850.05973895779</v>
      </c>
      <c r="E29" s="18">
        <f>_xll.DBRW($C$14,$D$16,$I$16,$C29,E$24,$I$17,E$23,$D$17)</f>
        <v>330796.93955352309</v>
      </c>
      <c r="F29" s="18">
        <f>_xll.DBRW($C$14,$D$16,$I$16,$C29,F$24,$I$17,F$23,$D$17)</f>
        <v>351577.76716836676</v>
      </c>
      <c r="G29" s="18">
        <f>_xll.DBRW($C$14,$D$16,$I$16,$C29,G$24,$I$17,G$23,$D$17)</f>
        <v>362519.39989040128</v>
      </c>
      <c r="H29" s="18">
        <f>_xll.DBRW($C$14,$D$16,$I$16,$C29,H$24,$I$17,H$23,$D$17)</f>
        <v>334270.53745843156</v>
      </c>
      <c r="I29" s="18">
        <f>_xll.DBRW($C$14,$D$16,$I$16,$C29,I$24,$I$17,I$23,$D$17)</f>
        <v>386121.46247606986</v>
      </c>
      <c r="J29" s="18">
        <f>_xll.DBRW($C$14,$D$16,$I$16,$C29,J$24,$I$17,J$23,$D$17)</f>
        <v>373101.06854059594</v>
      </c>
      <c r="K29" s="18">
        <f>_xll.DBRW($C$14,$D$16,$I$16,$C29,K$24,$I$17,K$23,$D$17)</f>
        <v>379565.18199225224</v>
      </c>
      <c r="L29" s="18">
        <f>_xll.DBRW($C$14,$D$16,$I$16,$C29,L$24,$I$17,L$23,$D$17)</f>
        <v>396603.68032500555</v>
      </c>
      <c r="M29" s="18">
        <f>_xll.DBRW($C$14,$D$16,$I$16,$C29,M$24,$I$17,M$23,$D$17)</f>
        <v>394094.51348744746</v>
      </c>
      <c r="N29" s="18">
        <f>_xll.DBRW($C$14,$D$16,$I$16,$C29,N$24,$I$17,N$23,$D$17)</f>
        <v>451882.43671860336</v>
      </c>
      <c r="O29" s="18">
        <f>_xll.DBRW($C$14,$D$16,$I$16,$C29,O$24,$I$17,O$23,$D$17)</f>
        <v>502973.34059504041</v>
      </c>
      <c r="P29" s="18">
        <f>_xll.DBRW($C$14,$D$16,$I$16,$C29,P$24,$I$17,P$23,$D$17)</f>
        <v>4625356.3879446955</v>
      </c>
      <c r="Q29" s="39">
        <f>_xll.DBRW($C$14,$D$16,$I$16,$C29,Q$24,$Q$21,Q$23,$D$17)</f>
        <v>2853965.9356938573</v>
      </c>
      <c r="R29" s="18">
        <f>P29-Q29</f>
        <v>1771390.4522508383</v>
      </c>
      <c r="S29" s="47">
        <f>R29/P29</f>
        <v>0.38297383026910192</v>
      </c>
    </row>
    <row r="30" spans="1:19" s="13" customFormat="1" ht="18.75" customHeight="1" x14ac:dyDescent="0.25">
      <c r="B30" s="13">
        <f>IF(_xll.TM1RPTELISCONSOLIDATED($C$25,$C30),IF(_xll.TM1RPTELLEV($C$25,$C30)&lt;=5,_xll.TM1RPTELLEV($C$25,$C30),"Default"),"Leaf")</f>
        <v>1</v>
      </c>
      <c r="C30" s="35" t="s">
        <v>17</v>
      </c>
      <c r="D30" s="15">
        <f>_xll.DBRW($C$14,$D$16,$I$16,$C30,D$24,$I$17,D$23,$D$17)</f>
        <v>9109464.6461823545</v>
      </c>
      <c r="E30" s="15">
        <f>_xll.DBRW($C$14,$D$16,$I$16,$C30,E$24,$I$17,E$23,$D$17)</f>
        <v>10686525.587655954</v>
      </c>
      <c r="F30" s="15">
        <f>_xll.DBRW($C$14,$D$16,$I$16,$C30,F$24,$I$17,F$23,$D$17)</f>
        <v>10449968.725414429</v>
      </c>
      <c r="G30" s="15">
        <f>_xll.DBRW($C$14,$D$16,$I$16,$C30,G$24,$I$17,G$23,$D$17)</f>
        <v>11628338.754628854</v>
      </c>
      <c r="H30" s="15">
        <f>_xll.DBRW($C$14,$D$16,$I$16,$C30,H$24,$I$17,H$23,$D$17)</f>
        <v>11849494.090614971</v>
      </c>
      <c r="I30" s="15">
        <f>_xll.DBRW($C$14,$D$16,$I$16,$C30,I$24,$I$17,I$23,$D$17)</f>
        <v>9434159.9823641833</v>
      </c>
      <c r="J30" s="15">
        <f>_xll.DBRW($C$14,$D$16,$I$16,$C30,J$24,$I$17,J$23,$D$17)</f>
        <v>10469990.422814097</v>
      </c>
      <c r="K30" s="15">
        <f>_xll.DBRW($C$14,$D$16,$I$16,$C30,K$24,$I$17,K$23,$D$17)</f>
        <v>10595884.101740371</v>
      </c>
      <c r="L30" s="15">
        <f>_xll.DBRW($C$14,$D$16,$I$16,$C30,L$24,$I$17,L$23,$D$17)</f>
        <v>10071423.732230285</v>
      </c>
      <c r="M30" s="15">
        <f>_xll.DBRW($C$14,$D$16,$I$16,$C30,M$24,$I$17,M$23,$D$17)</f>
        <v>12210197.439850083</v>
      </c>
      <c r="N30" s="15">
        <f>_xll.DBRW($C$14,$D$16,$I$16,$C30,N$24,$I$17,N$23,$D$17)</f>
        <v>10948301.499156957</v>
      </c>
      <c r="O30" s="15">
        <f>_xll.DBRW($C$14,$D$16,$I$16,$C30,O$24,$I$17,O$23,$D$17)</f>
        <v>12727753.565468382</v>
      </c>
      <c r="P30" s="15">
        <f>_xll.DBRW($C$14,$D$16,$I$16,$C30,P$24,$I$17,P$23,$D$17)</f>
        <v>130181502.54812098</v>
      </c>
      <c r="Q30" s="38">
        <f>_xll.DBRW($C$14,$D$16,$I$16,$C30,Q$24,$Q$21,Q$23,$D$17)</f>
        <v>134705522.2675229</v>
      </c>
      <c r="R30" s="15">
        <f>P30-Q30</f>
        <v>-4524019.7194019258</v>
      </c>
      <c r="S30" s="46">
        <f>R30/P30</f>
        <v>-3.4751632381333462E-2</v>
      </c>
    </row>
    <row r="31" spans="1:19" s="16" customFormat="1" ht="18.75" customHeight="1" x14ac:dyDescent="0.25">
      <c r="B31" s="16">
        <f>IF(_xll.TM1RPTELISCONSOLIDATED($C$25,$C31),IF(_xll.TM1RPTELLEV($C$25,$C31)&lt;=5,_xll.TM1RPTELLEV($C$25,$C31),"Default"),"Leaf")</f>
        <v>2</v>
      </c>
      <c r="C31" s="36" t="s">
        <v>18</v>
      </c>
      <c r="D31" s="18">
        <f>_xll.DBRW($C$14,$D$16,$I$16,$C31,D$24,$I$17,D$23,$D$17)</f>
        <v>3920945.2122617974</v>
      </c>
      <c r="E31" s="18">
        <f>_xll.DBRW($C$14,$D$16,$I$16,$C31,E$24,$I$17,E$23,$D$17)</f>
        <v>2679706.7908996842</v>
      </c>
      <c r="F31" s="18">
        <f>_xll.DBRW($C$14,$D$16,$I$16,$C31,F$24,$I$17,F$23,$D$17)</f>
        <v>4122642.7774480777</v>
      </c>
      <c r="G31" s="18">
        <f>_xll.DBRW($C$14,$D$16,$I$16,$C31,G$24,$I$17,G$23,$D$17)</f>
        <v>3576162.6994074108</v>
      </c>
      <c r="H31" s="18">
        <f>_xll.DBRW($C$14,$D$16,$I$16,$C31,H$24,$I$17,H$23,$D$17)</f>
        <v>3878868.4264027989</v>
      </c>
      <c r="I31" s="18">
        <f>_xll.DBRW($C$14,$D$16,$I$16,$C31,I$24,$I$17,I$23,$D$17)</f>
        <v>3006021.5957519091</v>
      </c>
      <c r="J31" s="18">
        <f>_xll.DBRW($C$14,$D$16,$I$16,$C31,J$24,$I$17,J$23,$D$17)</f>
        <v>4212757.0459344182</v>
      </c>
      <c r="K31" s="18">
        <f>_xll.DBRW($C$14,$D$16,$I$16,$C31,K$24,$I$17,K$23,$D$17)</f>
        <v>4057988.0352398604</v>
      </c>
      <c r="L31" s="18">
        <f>_xll.DBRW($C$14,$D$16,$I$16,$C31,L$24,$I$17,L$23,$D$17)</f>
        <v>4040056.3691624338</v>
      </c>
      <c r="M31" s="18">
        <f>_xll.DBRW($C$14,$D$16,$I$16,$C31,M$24,$I$17,M$23,$D$17)</f>
        <v>4302837.458349769</v>
      </c>
      <c r="N31" s="18">
        <f>_xll.DBRW($C$14,$D$16,$I$16,$C31,N$24,$I$17,N$23,$D$17)</f>
        <v>3365902.1400657399</v>
      </c>
      <c r="O31" s="18">
        <f>_xll.DBRW($C$14,$D$16,$I$16,$C31,O$24,$I$17,O$23,$D$17)</f>
        <v>4225152.0314718988</v>
      </c>
      <c r="P31" s="18">
        <f>_xll.DBRW($C$14,$D$16,$I$16,$C31,P$24,$I$17,P$23,$D$17)</f>
        <v>45389040.582395807</v>
      </c>
      <c r="Q31" s="39">
        <f>_xll.DBRW($C$14,$D$16,$I$16,$C31,Q$24,$Q$21,Q$23,$D$17)</f>
        <v>45448041.962394089</v>
      </c>
      <c r="R31" s="18">
        <f>P31-Q31</f>
        <v>-59001.379998281598</v>
      </c>
      <c r="S31" s="47">
        <f>R31/P31</f>
        <v>-1.299903660470086E-3</v>
      </c>
    </row>
    <row r="32" spans="1:19" s="16" customFormat="1" ht="18.75" customHeight="1" x14ac:dyDescent="0.25">
      <c r="B32" s="16">
        <f>IF(_xll.TM1RPTELISCONSOLIDATED($C$25,$C32),IF(_xll.TM1RPTELLEV($C$25,$C32)&lt;=5,_xll.TM1RPTELLEV($C$25,$C32),"Default"),"Leaf")</f>
        <v>2</v>
      </c>
      <c r="C32" s="36" t="s">
        <v>19</v>
      </c>
      <c r="D32" s="18">
        <f>_xll.DBRW($C$14,$D$16,$I$16,$C32,D$24,$I$17,D$23,$D$17)</f>
        <v>1960407.0680790436</v>
      </c>
      <c r="E32" s="18">
        <f>_xll.DBRW($C$14,$D$16,$I$16,$C32,E$24,$I$17,E$23,$D$17)</f>
        <v>2714973.8645332549</v>
      </c>
      <c r="F32" s="18">
        <f>_xll.DBRW($C$14,$D$16,$I$16,$C32,F$24,$I$17,F$23,$D$17)</f>
        <v>2451230.9071603082</v>
      </c>
      <c r="G32" s="18">
        <f>_xll.DBRW($C$14,$D$16,$I$16,$C32,G$24,$I$17,G$23,$D$17)</f>
        <v>2629344.0728022093</v>
      </c>
      <c r="H32" s="18">
        <f>_xll.DBRW($C$14,$D$16,$I$16,$C32,H$24,$I$17,H$23,$D$17)</f>
        <v>2464282.8306754986</v>
      </c>
      <c r="I32" s="18">
        <f>_xll.DBRW($C$14,$D$16,$I$16,$C32,I$24,$I$17,I$23,$D$17)</f>
        <v>1768017.4174315687</v>
      </c>
      <c r="J32" s="18">
        <f>_xll.DBRW($C$14,$D$16,$I$16,$C32,J$24,$I$17,J$23,$D$17)</f>
        <v>2487839.2128067412</v>
      </c>
      <c r="K32" s="18">
        <f>_xll.DBRW($C$14,$D$16,$I$16,$C32,K$24,$I$17,K$23,$D$17)</f>
        <v>2322218.1408236176</v>
      </c>
      <c r="L32" s="18">
        <f>_xll.DBRW($C$14,$D$16,$I$16,$C32,L$24,$I$17,L$23,$D$17)</f>
        <v>1623938.5543575503</v>
      </c>
      <c r="M32" s="18">
        <f>_xll.DBRW($C$14,$D$16,$I$16,$C32,M$24,$I$17,M$23,$D$17)</f>
        <v>1368527.9107440878</v>
      </c>
      <c r="N32" s="18">
        <f>_xll.DBRW($C$14,$D$16,$I$16,$C32,N$24,$I$17,N$23,$D$17)</f>
        <v>1792370.5820128163</v>
      </c>
      <c r="O32" s="18">
        <f>_xll.DBRW($C$14,$D$16,$I$16,$C32,O$24,$I$17,O$23,$D$17)</f>
        <v>2023740.0475968057</v>
      </c>
      <c r="P32" s="18">
        <f>_xll.DBRW($C$14,$D$16,$I$16,$C32,P$24,$I$17,P$23,$D$17)</f>
        <v>25606890.609023497</v>
      </c>
      <c r="Q32" s="39">
        <f>_xll.DBRW($C$14,$D$16,$I$16,$C32,Q$24,$Q$21,Q$23,$D$17)</f>
        <v>27153499.365329731</v>
      </c>
      <c r="R32" s="18">
        <f>P32-Q32</f>
        <v>-1546608.7563062347</v>
      </c>
      <c r="S32" s="47">
        <f>R32/P32</f>
        <v>-6.0398147511171556E-2</v>
      </c>
    </row>
    <row r="33" spans="2:19" s="16" customFormat="1" ht="18.75" customHeight="1" x14ac:dyDescent="0.25">
      <c r="B33" s="16">
        <f>IF(_xll.TM1RPTELISCONSOLIDATED($C$25,$C33),IF(_xll.TM1RPTELLEV($C$25,$C33)&lt;=5,_xll.TM1RPTELLEV($C$25,$C33),"Default"),"Leaf")</f>
        <v>2</v>
      </c>
      <c r="C33" s="36" t="s">
        <v>20</v>
      </c>
      <c r="D33" s="18">
        <f>_xll.DBRW($C$14,$D$16,$I$16,$C33,D$24,$I$17,D$23,$D$17)</f>
        <v>3228112.3658415126</v>
      </c>
      <c r="E33" s="18">
        <f>_xll.DBRW($C$14,$D$16,$I$16,$C33,E$24,$I$17,E$23,$D$17)</f>
        <v>5291844.9322230145</v>
      </c>
      <c r="F33" s="18">
        <f>_xll.DBRW($C$14,$D$16,$I$16,$C33,F$24,$I$17,F$23,$D$17)</f>
        <v>3876095.0408060434</v>
      </c>
      <c r="G33" s="18">
        <f>_xll.DBRW($C$14,$D$16,$I$16,$C33,G$24,$I$17,G$23,$D$17)</f>
        <v>5422831.9824192338</v>
      </c>
      <c r="H33" s="18">
        <f>_xll.DBRW($C$14,$D$16,$I$16,$C33,H$24,$I$17,H$23,$D$17)</f>
        <v>5506342.8335366743</v>
      </c>
      <c r="I33" s="18">
        <f>_xll.DBRW($C$14,$D$16,$I$16,$C33,I$24,$I$17,I$23,$D$17)</f>
        <v>4660120.969180705</v>
      </c>
      <c r="J33" s="18">
        <f>_xll.DBRW($C$14,$D$16,$I$16,$C33,J$24,$I$17,J$23,$D$17)</f>
        <v>3769394.1640729383</v>
      </c>
      <c r="K33" s="18">
        <f>_xll.DBRW($C$14,$D$16,$I$16,$C33,K$24,$I$17,K$23,$D$17)</f>
        <v>4215677.9256768934</v>
      </c>
      <c r="L33" s="18">
        <f>_xll.DBRW($C$14,$D$16,$I$16,$C33,L$24,$I$17,L$23,$D$17)</f>
        <v>4407428.8087103013</v>
      </c>
      <c r="M33" s="18">
        <f>_xll.DBRW($C$14,$D$16,$I$16,$C33,M$24,$I$17,M$23,$D$17)</f>
        <v>6538832.0707562249</v>
      </c>
      <c r="N33" s="18">
        <f>_xll.DBRW($C$14,$D$16,$I$16,$C33,N$24,$I$17,N$23,$D$17)</f>
        <v>5790028.7770784022</v>
      </c>
      <c r="O33" s="18">
        <f>_xll.DBRW($C$14,$D$16,$I$16,$C33,O$24,$I$17,O$23,$D$17)</f>
        <v>6478861.4863996785</v>
      </c>
      <c r="P33" s="18">
        <f>_xll.DBRW($C$14,$D$16,$I$16,$C33,P$24,$I$17,P$23,$D$17)</f>
        <v>59185571.356701612</v>
      </c>
      <c r="Q33" s="39">
        <f>_xll.DBRW($C$14,$D$16,$I$16,$C33,Q$24,$Q$21,Q$23,$D$17)</f>
        <v>62103980.93979907</v>
      </c>
      <c r="R33" s="18">
        <f>P33-Q33</f>
        <v>-2918409.5830974579</v>
      </c>
      <c r="S33" s="47">
        <f>R33/P33</f>
        <v>-4.9309477228980152E-2</v>
      </c>
    </row>
    <row r="34" spans="2:19" s="13" customFormat="1" ht="18.75" customHeight="1" x14ac:dyDescent="0.25">
      <c r="B34" s="13">
        <f>IF(_xll.TM1RPTELISCONSOLIDATED($C$25,$C34),IF(_xll.TM1RPTELLEV($C$25,$C34)&lt;=5,_xll.TM1RPTELLEV($C$25,$C34),"Default"),"Leaf")</f>
        <v>1</v>
      </c>
      <c r="C34" s="35" t="s">
        <v>21</v>
      </c>
      <c r="D34" s="15">
        <f>_xll.DBRW($C$14,$D$16,$I$16,$C34,D$24,$I$17,D$23,$D$17)</f>
        <v>1814515.9461608978</v>
      </c>
      <c r="E34" s="15">
        <f>_xll.DBRW($C$14,$D$16,$I$16,$C34,E$24,$I$17,E$23,$D$17)</f>
        <v>1834829.702248381</v>
      </c>
      <c r="F34" s="15">
        <f>_xll.DBRW($C$14,$D$16,$I$16,$C34,F$24,$I$17,F$23,$D$17)</f>
        <v>1872085.7250464908</v>
      </c>
      <c r="G34" s="15">
        <f>_xll.DBRW($C$14,$D$16,$I$16,$C34,G$24,$I$17,G$23,$D$17)</f>
        <v>1891049.7746491071</v>
      </c>
      <c r="H34" s="15">
        <f>_xll.DBRW($C$14,$D$16,$I$16,$C34,H$24,$I$17,H$23,$D$17)</f>
        <v>1929329.3027752861</v>
      </c>
      <c r="I34" s="15">
        <f>_xll.DBRW($C$14,$D$16,$I$16,$C34,I$24,$I$17,I$23,$D$17)</f>
        <v>1986717.0602593699</v>
      </c>
      <c r="J34" s="15">
        <f>_xll.DBRW($C$14,$D$16,$I$16,$C34,J$24,$I$17,J$23,$D$17)</f>
        <v>2013850.3966913337</v>
      </c>
      <c r="K34" s="15">
        <f>_xll.DBRW($C$14,$D$16,$I$16,$C34,K$24,$I$17,K$23,$D$17)</f>
        <v>1944628.6907970607</v>
      </c>
      <c r="L34" s="15">
        <f>_xll.DBRW($C$14,$D$16,$I$16,$C34,L$24,$I$17,L$23,$D$17)</f>
        <v>1921396.8140633511</v>
      </c>
      <c r="M34" s="15">
        <f>_xll.DBRW($C$14,$D$16,$I$16,$C34,M$24,$I$17,M$23,$D$17)</f>
        <v>2026935.5916614323</v>
      </c>
      <c r="N34" s="15">
        <f>_xll.DBRW($C$14,$D$16,$I$16,$C34,N$24,$I$17,N$23,$D$17)</f>
        <v>2070500.6958559083</v>
      </c>
      <c r="O34" s="15">
        <f>_xll.DBRW($C$14,$D$16,$I$16,$C34,O$24,$I$17,O$23,$D$17)</f>
        <v>2108376.6999176666</v>
      </c>
      <c r="P34" s="15">
        <f>_xll.DBRW($C$14,$D$16,$I$16,$C34,P$24,$I$17,P$23,$D$17)</f>
        <v>23414216.400126293</v>
      </c>
      <c r="Q34" s="38">
        <f>_xll.DBRW($C$14,$D$16,$I$16,$C34,Q$24,$Q$21,Q$23,$D$17)</f>
        <v>18404342.891240221</v>
      </c>
      <c r="R34" s="15">
        <f>P34-Q34</f>
        <v>5009873.5088860728</v>
      </c>
      <c r="S34" s="46">
        <f>R34/P34</f>
        <v>0.213967165215875</v>
      </c>
    </row>
    <row r="35" spans="2:19" s="16" customFormat="1" ht="18.75" customHeight="1" x14ac:dyDescent="0.25">
      <c r="B35" s="16">
        <f>IF(_xll.TM1RPTELISCONSOLIDATED($C$25,$C35),IF(_xll.TM1RPTELLEV($C$25,$C35)&lt;=5,_xll.TM1RPTELLEV($C$25,$C35),"Default"),"Leaf")</f>
        <v>2</v>
      </c>
      <c r="C35" s="36" t="s">
        <v>22</v>
      </c>
      <c r="D35" s="18">
        <f>_xll.DBRW($C$14,$D$16,$I$16,$C35,D$24,$I$17,D$23,$D$17)</f>
        <v>1038250.4354370064</v>
      </c>
      <c r="E35" s="18">
        <f>_xll.DBRW($C$14,$D$16,$I$16,$C35,E$24,$I$17,E$23,$D$17)</f>
        <v>1052610.439185889</v>
      </c>
      <c r="F35" s="18">
        <f>_xll.DBRW($C$14,$D$16,$I$16,$C35,F$24,$I$17,F$23,$D$17)</f>
        <v>1074816.4502310068</v>
      </c>
      <c r="G35" s="18">
        <f>_xll.DBRW($C$14,$D$16,$I$16,$C35,G$24,$I$17,G$23,$D$17)</f>
        <v>1078787.8484543061</v>
      </c>
      <c r="H35" s="18">
        <f>_xll.DBRW($C$14,$D$16,$I$16,$C35,H$24,$I$17,H$23,$D$17)</f>
        <v>1104222.8406635523</v>
      </c>
      <c r="I35" s="18">
        <f>_xll.DBRW($C$14,$D$16,$I$16,$C35,I$24,$I$17,I$23,$D$17)</f>
        <v>1136346.7943379567</v>
      </c>
      <c r="J35" s="18">
        <f>_xll.DBRW($C$14,$D$16,$I$16,$C35,J$24,$I$17,J$23,$D$17)</f>
        <v>1139723.1867664582</v>
      </c>
      <c r="K35" s="18">
        <f>_xll.DBRW($C$14,$D$16,$I$16,$C35,K$24,$I$17,K$23,$D$17)</f>
        <v>1111403.9210048111</v>
      </c>
      <c r="L35" s="18">
        <f>_xll.DBRW($C$14,$D$16,$I$16,$C35,L$24,$I$17,L$23,$D$17)</f>
        <v>1067303.8376165926</v>
      </c>
      <c r="M35" s="18">
        <f>_xll.DBRW($C$14,$D$16,$I$16,$C35,M$24,$I$17,M$23,$D$17)</f>
        <v>1123523.4186678058</v>
      </c>
      <c r="N35" s="18">
        <f>_xll.DBRW($C$14,$D$16,$I$16,$C35,N$24,$I$17,N$23,$D$17)</f>
        <v>1159482.7806086931</v>
      </c>
      <c r="O35" s="18">
        <f>_xll.DBRW($C$14,$D$16,$I$16,$C35,O$24,$I$17,O$23,$D$17)</f>
        <v>1176180.5186450479</v>
      </c>
      <c r="P35" s="18">
        <f>_xll.DBRW($C$14,$D$16,$I$16,$C35,P$24,$I$17,P$23,$D$17)</f>
        <v>13262652.471619125</v>
      </c>
      <c r="Q35" s="39">
        <f>_xll.DBRW($C$14,$D$16,$I$16,$C35,Q$24,$Q$21,Q$23,$D$17)</f>
        <v>10251514.499527439</v>
      </c>
      <c r="R35" s="18">
        <f>P35-Q35</f>
        <v>3011137.972091686</v>
      </c>
      <c r="S35" s="47">
        <f>R35/P35</f>
        <v>0.22703889576653299</v>
      </c>
    </row>
    <row r="36" spans="2:19" s="16" customFormat="1" ht="18.75" customHeight="1" x14ac:dyDescent="0.25">
      <c r="B36" s="16">
        <f>IF(_xll.TM1RPTELISCONSOLIDATED($C$25,$C36),IF(_xll.TM1RPTELLEV($C$25,$C36)&lt;=5,_xll.TM1RPTELLEV($C$25,$C36),"Default"),"Leaf")</f>
        <v>2</v>
      </c>
      <c r="C36" s="36" t="s">
        <v>23</v>
      </c>
      <c r="D36" s="18">
        <f>_xll.DBRW($C$14,$D$16,$I$16,$C36,D$24,$I$17,D$23,$D$17)</f>
        <v>776265.51072389132</v>
      </c>
      <c r="E36" s="18">
        <f>_xll.DBRW($C$14,$D$16,$I$16,$C36,E$24,$I$17,E$23,$D$17)</f>
        <v>782219.26306249201</v>
      </c>
      <c r="F36" s="18">
        <f>_xll.DBRW($C$14,$D$16,$I$16,$C36,F$24,$I$17,F$23,$D$17)</f>
        <v>797269.27481548418</v>
      </c>
      <c r="G36" s="18">
        <f>_xll.DBRW($C$14,$D$16,$I$16,$C36,G$24,$I$17,G$23,$D$17)</f>
        <v>812261.92619480111</v>
      </c>
      <c r="H36" s="18">
        <f>_xll.DBRW($C$14,$D$16,$I$16,$C36,H$24,$I$17,H$23,$D$17)</f>
        <v>825106.46211173409</v>
      </c>
      <c r="I36" s="18">
        <f>_xll.DBRW($C$14,$D$16,$I$16,$C36,I$24,$I$17,I$23,$D$17)</f>
        <v>850370.2659214132</v>
      </c>
      <c r="J36" s="18">
        <f>_xll.DBRW($C$14,$D$16,$I$16,$C36,J$24,$I$17,J$23,$D$17)</f>
        <v>874127.20992487529</v>
      </c>
      <c r="K36" s="18">
        <f>_xll.DBRW($C$14,$D$16,$I$16,$C36,K$24,$I$17,K$23,$D$17)</f>
        <v>833224.76979224966</v>
      </c>
      <c r="L36" s="18">
        <f>_xll.DBRW($C$14,$D$16,$I$16,$C36,L$24,$I$17,L$23,$D$17)</f>
        <v>854092.97644675861</v>
      </c>
      <c r="M36" s="18">
        <f>_xll.DBRW($C$14,$D$16,$I$16,$C36,M$24,$I$17,M$23,$D$17)</f>
        <v>903412.17299362633</v>
      </c>
      <c r="N36" s="18">
        <f>_xll.DBRW($C$14,$D$16,$I$16,$C36,N$24,$I$17,N$23,$D$17)</f>
        <v>911017.91524721519</v>
      </c>
      <c r="O36" s="18">
        <f>_xll.DBRW($C$14,$D$16,$I$16,$C36,O$24,$I$17,O$23,$D$17)</f>
        <v>932196.18127261894</v>
      </c>
      <c r="P36" s="18">
        <f>_xll.DBRW($C$14,$D$16,$I$16,$C36,P$24,$I$17,P$23,$D$17)</f>
        <v>10151563.928507157</v>
      </c>
      <c r="Q36" s="39">
        <f>_xll.DBRW($C$14,$D$16,$I$16,$C36,Q$24,$Q$21,Q$23,$D$17)</f>
        <v>8152828.391712781</v>
      </c>
      <c r="R36" s="18">
        <f>P36-Q36</f>
        <v>1998735.5367943756</v>
      </c>
      <c r="S36" s="47">
        <f>R36/P36</f>
        <v>0.19688942027756118</v>
      </c>
    </row>
  </sheetData>
  <mergeCells count="6">
    <mergeCell ref="D17:F17"/>
    <mergeCell ref="D21:P21"/>
    <mergeCell ref="Q21:S21"/>
    <mergeCell ref="I16:K16"/>
    <mergeCell ref="I17:K17"/>
    <mergeCell ref="D16:F16"/>
  </mergeCells>
  <conditionalFormatting sqref="R4:S11">
    <cfRule type="cellIs" dxfId="3" priority="4" operator="lessThan">
      <formula>0</formula>
    </cfRule>
  </conditionalFormatting>
  <conditionalFormatting sqref="R25:S25">
    <cfRule type="cellIs" dxfId="2" priority="3" operator="lessThan">
      <formula>0</formula>
    </cfRule>
  </conditionalFormatting>
  <conditionalFormatting sqref="R34:S34 R30:S30 R26:S26">
    <cfRule type="cellIs" dxfId="1" priority="2" operator="lessThan">
      <formula>0</formula>
    </cfRule>
  </conditionalFormatting>
  <conditionalFormatting sqref="R35:S36 R31:S33 R27:S29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customProperties>
    <customPr name="###UNCOMMITTEDCHANGES###" r:id="rId1"/>
    <customPr name="COR_DefaultExpandDirection" r:id="rId2"/>
    <customPr name="COR_GroupingOption" r:id="rId3"/>
    <customPr name="TM1Actions" r:id="rId4"/>
  </customProperties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5</vt:i4>
      </vt:variant>
    </vt:vector>
  </HeadingPairs>
  <TitlesOfParts>
    <vt:vector size="6" baseType="lpstr">
      <vt:lpstr>Planilha</vt:lpstr>
      <vt:lpstr>Planilha!TM1RPTDATARNG22131618</vt:lpstr>
      <vt:lpstr>Planilha!TM1RPTFMTIDCOL22131618</vt:lpstr>
      <vt:lpstr>Planilha!TM1RPTFMTRNG22131618</vt:lpstr>
      <vt:lpstr>Planilha!TM1RPTQRYRNG22131618</vt:lpstr>
      <vt:lpstr>Planilha!TM1RPTVIEWRNG22131618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Felipy Morais</dc:creator>
  <cp:lastModifiedBy>Felipy Morais</cp:lastModifiedBy>
  <dcterms:created xsi:type="dcterms:W3CDTF">2024-11-13T00:04:12Z</dcterms:created>
  <dcterms:modified xsi:type="dcterms:W3CDTF">2024-11-13T00:40:20Z</dcterms:modified>
</cp:coreProperties>
</file>